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750" windowHeight="9800"/>
  </bookViews>
  <sheets>
    <sheet name="Sayfa1" sheetId="2" r:id="rId1"/>
    <sheet name="Sayfa2" sheetId="3" r:id="rId2"/>
  </sheets>
  <definedNames>
    <definedName name="__MAIN__">#REF!</definedName>
    <definedName name="__qIsGrup__">#REF!</definedName>
    <definedName name="__qMetPoz__">#REF!</definedName>
    <definedName name="__qMetraj__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<sst xmlns="http://schemas.openxmlformats.org/spreadsheetml/2006/main" count="161" uniqueCount="114">
  <si>
    <t>Hesaplamalar</t>
  </si>
  <si>
    <t xml:space="preserve">Değişiklik yapılacak kısımlar sarı ile işaretlidir. </t>
  </si>
  <si>
    <t>Atık Türü</t>
  </si>
  <si>
    <t xml:space="preserve">Adet </t>
  </si>
  <si>
    <t>Ağırlık (kg/adet)</t>
  </si>
  <si>
    <t xml:space="preserve">Alan m2 (oda) </t>
  </si>
  <si>
    <t xml:space="preserve">Oda Adet </t>
  </si>
  <si>
    <t xml:space="preserve">Daire </t>
  </si>
  <si>
    <t>Toplam</t>
  </si>
  <si>
    <t>Tuğla (13,5 Blok Tuğla)</t>
  </si>
  <si>
    <t>Tuğla (24 Blok Tuğla)</t>
  </si>
  <si>
    <t xml:space="preserve">Birim Ağırlık (kg/m2)  </t>
  </si>
  <si>
    <t>Daire</t>
  </si>
  <si>
    <t>Sıvalı Duvar (13,5 cm kalınlık)</t>
  </si>
  <si>
    <t>Sıvalı Duvar (25 cm kalınlık)</t>
  </si>
  <si>
    <t>Özgül Ağırlık (kg/m3)</t>
  </si>
  <si>
    <t>Kat Alan (m2)</t>
  </si>
  <si>
    <t>Yükseklik  (m)</t>
  </si>
  <si>
    <t>Toplam Kat Sayısı</t>
  </si>
  <si>
    <t>Toplam (kg)</t>
  </si>
  <si>
    <t xml:space="preserve">Kuru Beton </t>
  </si>
  <si>
    <t xml:space="preserve">Yaş Beton </t>
  </si>
  <si>
    <t>Kalınlık (m)</t>
  </si>
  <si>
    <t>Pvc pencere</t>
  </si>
  <si>
    <t>Çerçeve/kanat genişlikleri (m)	94 mm ila 175 mm</t>
  </si>
  <si>
    <t>Topal profil genişlikleri (m) 114 mm ila 218 mm</t>
  </si>
  <si>
    <t>Ağırlık (kg/m2)</t>
  </si>
  <si>
    <t>Adet Pencere (1 Daire)</t>
  </si>
  <si>
    <t>Toplam Daire</t>
  </si>
  <si>
    <t>Ahşap Pencere</t>
  </si>
  <si>
    <t>Alan m2 (oda)</t>
  </si>
  <si>
    <t>Oda Adet</t>
  </si>
  <si>
    <t xml:space="preserve">Toplam Daire </t>
  </si>
  <si>
    <t xml:space="preserve">Toplam </t>
  </si>
  <si>
    <t>Laminant Parke  (ahşap)</t>
  </si>
  <si>
    <t>Toplam Ahşap</t>
  </si>
  <si>
    <t>Çatı Alan (m2)</t>
  </si>
  <si>
    <t>Kiremit</t>
  </si>
  <si>
    <t>Seramik  (tezgah alanı)</t>
  </si>
  <si>
    <t>Kenar uzunluk uzun (m)</t>
  </si>
  <si>
    <t>Seramik (adet üzerinden)</t>
  </si>
  <si>
    <t>1 adet seramik (kg)</t>
  </si>
  <si>
    <t>Kat</t>
  </si>
  <si>
    <t xml:space="preserve">Laminant Parke </t>
  </si>
  <si>
    <t xml:space="preserve">Ağırlık / adet (g/adet) </t>
  </si>
  <si>
    <t xml:space="preserve">floresan lamba </t>
  </si>
  <si>
    <t>Ağırlık /lamba (mg)</t>
  </si>
  <si>
    <t>Adet</t>
  </si>
  <si>
    <t xml:space="preserve">Toplam (g) </t>
  </si>
  <si>
    <t>Civa içeriği</t>
  </si>
  <si>
    <t>Flüoresan lambalar ve diğer cıva içeren atıklar (kg)</t>
  </si>
  <si>
    <t>Kişi başı atık kağıt miktarı (kg/kişi)</t>
  </si>
  <si>
    <t>Şantiye ofisinde çalışacak işçi sayısı</t>
  </si>
  <si>
    <t>Şantiye Süresi (gün)</t>
  </si>
  <si>
    <t>Toplam k(kg/ay)</t>
  </si>
  <si>
    <t>Kağıt karton</t>
  </si>
  <si>
    <t>Ağırlık/ Adet</t>
  </si>
  <si>
    <t xml:space="preserve">Bir dairedeki cam sayısı </t>
  </si>
  <si>
    <t>Cam</t>
  </si>
  <si>
    <t>Ağırlık (kg/m2) (35-45kg/m2)</t>
  </si>
  <si>
    <t>Temel Alanı (m2)</t>
  </si>
  <si>
    <t>Demir (temelde)</t>
  </si>
  <si>
    <t>Kat Alanı (m2)</t>
  </si>
  <si>
    <t>Toplam kat sayısı</t>
  </si>
  <si>
    <t xml:space="preserve">Demir (katlarda) </t>
  </si>
  <si>
    <t>Uzunluk</t>
  </si>
  <si>
    <t>Genişlik</t>
  </si>
  <si>
    <t>Kalınlık</t>
  </si>
  <si>
    <t>Özgül Ağırlığı (kg/m3)</t>
  </si>
  <si>
    <t>Atermit</t>
  </si>
  <si>
    <t>Atık Kodu</t>
  </si>
  <si>
    <t>Atık Kodu Tanımı</t>
  </si>
  <si>
    <t>Miktar</t>
  </si>
  <si>
    <t>15 01 10*</t>
  </si>
  <si>
    <t>Tehlikeli maddelerin kalıntılarını içeren ya da tehlikeli maddelerle kontamine olmuş ambalajlar</t>
  </si>
  <si>
    <t>17 02 04*</t>
  </si>
  <si>
    <t>Tehlikeli maddeler içeren ya da tehlikeli maddelerle kontamine olmuş ahşap, cam ve plastik</t>
  </si>
  <si>
    <t>20 01 21*</t>
  </si>
  <si>
    <t>Flüoresan lambalar ve diğer cıva içeren atıklar</t>
  </si>
  <si>
    <t>16 02 11*</t>
  </si>
  <si>
    <t>Kloroflorokarbon, HCFC, HFC içeren ıskarta ekipmanlar</t>
  </si>
  <si>
    <t>20 01 23*</t>
  </si>
  <si>
    <t>Kloroflorokarbonlar içeren ıskartaya çıkartılmış ekipmanlar</t>
  </si>
  <si>
    <t>17 09 02*</t>
  </si>
  <si>
    <t xml:space="preserve">PCB içeren inşaat ve yıkıntı atıkları (örneğin PCB içeren dolgu macunları, PCB içeren reçine bazlı taban kaplama malzemeleri, PCB içeren kaplanmış sırlama birimleri, PCB içeren kapasitörler) </t>
  </si>
  <si>
    <t>17 06 05*</t>
  </si>
  <si>
    <t xml:space="preserve">Asbest içeren inşaat malzemeleri </t>
  </si>
  <si>
    <t>15 01 03</t>
  </si>
  <si>
    <t>Ahşap ambalaj</t>
  </si>
  <si>
    <t>tuğla</t>
  </si>
  <si>
    <t xml:space="preserve">17 01 01 </t>
  </si>
  <si>
    <t>Beton</t>
  </si>
  <si>
    <t xml:space="preserve">17 01 03 </t>
  </si>
  <si>
    <t>Kiremitler ve seramikler</t>
  </si>
  <si>
    <t>17 02 01</t>
  </si>
  <si>
    <t>Ahşap</t>
  </si>
  <si>
    <t xml:space="preserve">17 05 04 </t>
  </si>
  <si>
    <t>17 05 03 dışındaki toprak ve taşlar</t>
  </si>
  <si>
    <t>17 08 02</t>
  </si>
  <si>
    <t>17 08 01 dışındaki alçı bazlı inşaat malzemeleri</t>
  </si>
  <si>
    <t xml:space="preserve">20 01 08 </t>
  </si>
  <si>
    <t>Biyolojik olarak bozunabilir mutfak ve kantin atıkları (8)</t>
  </si>
  <si>
    <t>17 04 07</t>
  </si>
  <si>
    <t>Karışık metaller</t>
  </si>
  <si>
    <t>15 01 01</t>
  </si>
  <si>
    <t>Kağıt ve karton ambalaj</t>
  </si>
  <si>
    <t xml:space="preserve">15 01 02 </t>
  </si>
  <si>
    <t>Plastik ambalaj</t>
  </si>
  <si>
    <t xml:space="preserve">15 01 04 </t>
  </si>
  <si>
    <t>Metalik ambalaj</t>
  </si>
  <si>
    <t>15 01 07</t>
  </si>
  <si>
    <t>Cam ambalaj</t>
  </si>
  <si>
    <t>(8)</t>
  </si>
  <si>
    <t xml:space="preserve"> 10/5/2005 tarihli ve 5346 sayılı Yenilenebilir Enerji Kaynaklarının Elektrik Enerjisi Üretimi Amaçlı Kullanımına İlişkin Kanunun 3 üncü maddesinin dokuzuncu fıkrasında tanımlanan atıklardır. Bu atıkların yönetiminde bu Yönetmelikle getirilen tüm yükümlülüklere uyulur.
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</si>
</sst>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176" formatCode="_ * #,##0.00_ ;_ * \-#,##0.00_ ;_ * &quot;-&quot;??_ ;_ @_ "/>
    <numFmt numFmtId="177" formatCode="_ &quot;$U&quot;\ * #,##0.00_ ;_ &quot;$U&quot;\ * \-#,##0.00_ ;_ &quot;$U&quot;\ * &quot;-&quot;??_ ;_ @_ "/>
    <numFmt numFmtId="178" formatCode="_ * #,##0_ ;_ * \-#,##0_ ;_ * &quot;-&quot;_ ;_ @_ "/>
    <numFmt numFmtId="179" formatCode="#,##0.00_ ;\-#,##0.00\ "/>
  </numFmts>
  <fonts count="23">
    <font>
      <sz val="10"/>
      <name val="Arial"/>
      <charset val="134"/>
    </font>
    <font>
      <sz val="10"/>
      <name val="Arial"/>
      <charset val="162"/>
    </font>
    <font>
      <b/>
      <i/>
      <sz val="10"/>
      <name val="Arial"/>
      <charset val="162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4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2" applyNumberFormat="0" applyFill="0" applyAlignment="0" applyProtection="0">
      <alignment vertical="center"/>
    </xf>
    <xf numFmtId="0" fontId="10" fillId="0" borderId="42" applyNumberFormat="0" applyFill="0" applyAlignment="0" applyProtection="0">
      <alignment vertical="center"/>
    </xf>
    <xf numFmtId="0" fontId="11" fillId="0" borderId="4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4" applyNumberFormat="0" applyAlignment="0" applyProtection="0">
      <alignment vertical="center"/>
    </xf>
    <xf numFmtId="0" fontId="13" fillId="8" borderId="45" applyNumberFormat="0" applyAlignment="0" applyProtection="0">
      <alignment vertical="center"/>
    </xf>
    <xf numFmtId="0" fontId="14" fillId="8" borderId="44" applyNumberFormat="0" applyAlignment="0" applyProtection="0">
      <alignment vertical="center"/>
    </xf>
    <xf numFmtId="0" fontId="15" fillId="9" borderId="46" applyNumberFormat="0" applyAlignment="0" applyProtection="0">
      <alignment vertical="center"/>
    </xf>
    <xf numFmtId="0" fontId="16" fillId="0" borderId="47" applyNumberFormat="0" applyFill="0" applyAlignment="0" applyProtection="0">
      <alignment vertical="center"/>
    </xf>
    <xf numFmtId="0" fontId="17" fillId="0" borderId="4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92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horizontal="center"/>
    </xf>
    <xf numFmtId="179" fontId="0" fillId="0" borderId="0" xfId="2" applyNumberFormat="1" applyFont="1"/>
    <xf numFmtId="179" fontId="0" fillId="0" borderId="0" xfId="0" applyNumberFormat="1"/>
    <xf numFmtId="49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0" borderId="2" xfId="0" applyBorder="1"/>
    <xf numFmtId="0" fontId="1" fillId="0" borderId="3" xfId="0" applyFont="1" applyBorder="1"/>
    <xf numFmtId="0" fontId="1" fillId="3" borderId="3" xfId="0" applyFont="1" applyFill="1" applyBorder="1"/>
    <xf numFmtId="0" fontId="1" fillId="0" borderId="4" xfId="0" applyFont="1" applyBorder="1"/>
    <xf numFmtId="0" fontId="0" fillId="0" borderId="0" xfId="0" applyBorder="1"/>
    <xf numFmtId="0" fontId="0" fillId="3" borderId="0" xfId="0" applyFill="1" applyBorder="1"/>
    <xf numFmtId="0" fontId="1" fillId="0" borderId="5" xfId="0" applyFont="1" applyBorder="1"/>
    <xf numFmtId="0" fontId="0" fillId="0" borderId="6" xfId="0" applyBorder="1"/>
    <xf numFmtId="0" fontId="0" fillId="4" borderId="6" xfId="0" applyFill="1" applyBorder="1"/>
    <xf numFmtId="0" fontId="0" fillId="0" borderId="0" xfId="0" applyFill="1" applyBorder="1"/>
    <xf numFmtId="0" fontId="0" fillId="0" borderId="6" xfId="0" applyFill="1" applyBorder="1"/>
    <xf numFmtId="0" fontId="1" fillId="0" borderId="7" xfId="0" applyFont="1" applyBorder="1"/>
    <xf numFmtId="0" fontId="1" fillId="0" borderId="8" xfId="0" applyFont="1" applyBorder="1"/>
    <xf numFmtId="0" fontId="0" fillId="0" borderId="8" xfId="0" applyFill="1" applyBorder="1"/>
    <xf numFmtId="0" fontId="0" fillId="0" borderId="9" xfId="0" applyBorder="1"/>
    <xf numFmtId="0" fontId="1" fillId="0" borderId="1" xfId="0" applyFont="1" applyBorder="1" applyAlignment="1">
      <alignment horizontal="center"/>
    </xf>
    <xf numFmtId="0" fontId="1" fillId="0" borderId="10" xfId="0" applyFont="1" applyBorder="1"/>
    <xf numFmtId="0" fontId="0" fillId="0" borderId="11" xfId="0" applyBorder="1"/>
    <xf numFmtId="0" fontId="0" fillId="3" borderId="11" xfId="0" applyFill="1" applyBorder="1"/>
    <xf numFmtId="0" fontId="0" fillId="0" borderId="12" xfId="0" applyFill="1" applyBorder="1" applyAlignment="1">
      <alignment horizontal="center"/>
    </xf>
    <xf numFmtId="0" fontId="1" fillId="0" borderId="13" xfId="0" applyFont="1" applyBorder="1"/>
    <xf numFmtId="0" fontId="0" fillId="0" borderId="14" xfId="0" applyBorder="1"/>
    <xf numFmtId="0" fontId="0" fillId="5" borderId="14" xfId="0" applyFill="1" applyBorder="1" applyAlignment="1">
      <alignment horizontal="center"/>
    </xf>
    <xf numFmtId="0" fontId="1" fillId="0" borderId="15" xfId="0" applyFont="1" applyBorder="1"/>
    <xf numFmtId="0" fontId="0" fillId="0" borderId="1" xfId="0" applyBorder="1"/>
    <xf numFmtId="0" fontId="1" fillId="4" borderId="1" xfId="0" applyFont="1" applyFill="1" applyBorder="1"/>
    <xf numFmtId="0" fontId="0" fillId="4" borderId="1" xfId="0" applyFill="1" applyBorder="1"/>
    <xf numFmtId="0" fontId="1" fillId="0" borderId="1" xfId="0" applyFont="1" applyBorder="1"/>
    <xf numFmtId="0" fontId="0" fillId="0" borderId="1" xfId="0" applyFill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4" borderId="3" xfId="0" applyFont="1" applyFill="1" applyBorder="1"/>
    <xf numFmtId="0" fontId="0" fillId="0" borderId="19" xfId="0" applyBorder="1"/>
    <xf numFmtId="0" fontId="0" fillId="0" borderId="20" xfId="0" applyBorder="1"/>
    <xf numFmtId="0" fontId="0" fillId="4" borderId="20" xfId="0" applyFill="1" applyBorder="1"/>
    <xf numFmtId="0" fontId="1" fillId="0" borderId="21" xfId="0" applyFont="1" applyBorder="1"/>
    <xf numFmtId="0" fontId="0" fillId="0" borderId="13" xfId="0" applyBorder="1"/>
    <xf numFmtId="0" fontId="0" fillId="3" borderId="14" xfId="0" applyFill="1" applyBorder="1"/>
    <xf numFmtId="0" fontId="0" fillId="0" borderId="22" xfId="0" applyBorder="1"/>
    <xf numFmtId="0" fontId="0" fillId="0" borderId="15" xfId="0" applyBorder="1"/>
    <xf numFmtId="0" fontId="0" fillId="0" borderId="23" xfId="0" applyBorder="1"/>
    <xf numFmtId="0" fontId="0" fillId="3" borderId="1" xfId="0" applyFill="1" applyBorder="1"/>
    <xf numFmtId="0" fontId="1" fillId="0" borderId="24" xfId="0" applyFont="1" applyBorder="1"/>
    <xf numFmtId="0" fontId="0" fillId="0" borderId="25" xfId="0" applyBorder="1"/>
    <xf numFmtId="0" fontId="0" fillId="0" borderId="26" xfId="0" applyBorder="1"/>
    <xf numFmtId="0" fontId="1" fillId="0" borderId="6" xfId="0" applyFont="1" applyBorder="1"/>
    <xf numFmtId="0" fontId="0" fillId="3" borderId="6" xfId="0" applyFill="1" applyBorder="1"/>
    <xf numFmtId="0" fontId="0" fillId="0" borderId="5" xfId="0" applyFill="1" applyBorder="1"/>
    <xf numFmtId="0" fontId="1" fillId="0" borderId="14" xfId="0" applyFont="1" applyBorder="1"/>
    <xf numFmtId="0" fontId="1" fillId="0" borderId="22" xfId="0" applyFont="1" applyBorder="1"/>
    <xf numFmtId="0" fontId="1" fillId="0" borderId="27" xfId="0" applyFont="1" applyBorder="1"/>
    <xf numFmtId="0" fontId="0" fillId="0" borderId="28" xfId="0" applyBorder="1"/>
    <xf numFmtId="0" fontId="0" fillId="0" borderId="29" xfId="0" applyBorder="1"/>
    <xf numFmtId="0" fontId="1" fillId="0" borderId="30" xfId="0" applyFont="1" applyBorder="1"/>
    <xf numFmtId="0" fontId="1" fillId="0" borderId="31" xfId="0" applyFont="1" applyBorder="1"/>
    <xf numFmtId="0" fontId="0" fillId="0" borderId="25" xfId="0" applyFill="1" applyBorder="1"/>
    <xf numFmtId="0" fontId="1" fillId="0" borderId="32" xfId="0" applyFont="1" applyBorder="1" applyAlignment="1">
      <alignment horizontal="right"/>
    </xf>
    <xf numFmtId="0" fontId="0" fillId="0" borderId="33" xfId="0" applyBorder="1" applyAlignment="1">
      <alignment horizontal="right"/>
    </xf>
    <xf numFmtId="0" fontId="0" fillId="0" borderId="34" xfId="0" applyBorder="1" applyAlignment="1">
      <alignment horizontal="right"/>
    </xf>
    <xf numFmtId="0" fontId="0" fillId="5" borderId="0" xfId="0" applyFill="1"/>
    <xf numFmtId="0" fontId="1" fillId="3" borderId="35" xfId="0" applyFont="1" applyFill="1" applyBorder="1"/>
    <xf numFmtId="0" fontId="1" fillId="0" borderId="0" xfId="0" applyFont="1" applyFill="1" applyBorder="1"/>
    <xf numFmtId="0" fontId="0" fillId="5" borderId="36" xfId="0" applyFill="1" applyBorder="1"/>
    <xf numFmtId="0" fontId="0" fillId="4" borderId="37" xfId="0" applyFill="1" applyBorder="1"/>
    <xf numFmtId="0" fontId="1" fillId="0" borderId="35" xfId="0" applyFont="1" applyBorder="1"/>
    <xf numFmtId="0" fontId="1" fillId="0" borderId="36" xfId="0" applyFont="1" applyBorder="1"/>
    <xf numFmtId="0" fontId="0" fillId="5" borderId="37" xfId="0" applyFill="1" applyBorder="1"/>
    <xf numFmtId="0" fontId="1" fillId="0" borderId="8" xfId="0" applyFont="1" applyFill="1" applyBorder="1"/>
    <xf numFmtId="0" fontId="1" fillId="0" borderId="38" xfId="0" applyFont="1" applyBorder="1"/>
    <xf numFmtId="0" fontId="0" fillId="0" borderId="37" xfId="0" applyBorder="1"/>
    <xf numFmtId="0" fontId="0" fillId="0" borderId="36" xfId="0" applyBorder="1"/>
    <xf numFmtId="0" fontId="0" fillId="5" borderId="1" xfId="0" applyFill="1" applyBorder="1"/>
    <xf numFmtId="0" fontId="0" fillId="0" borderId="39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0" borderId="23" xfId="0" applyFill="1" applyBorder="1"/>
    <xf numFmtId="0" fontId="0" fillId="5" borderId="0" xfId="0" applyFill="1" applyBorder="1"/>
    <xf numFmtId="0" fontId="0" fillId="5" borderId="26" xfId="0" applyFill="1" applyBorder="1"/>
    <xf numFmtId="0" fontId="1" fillId="0" borderId="40" xfId="0" applyFont="1" applyBorder="1"/>
    <xf numFmtId="0" fontId="0" fillId="5" borderId="34" xfId="0" applyFill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L55"/>
  <sheetViews>
    <sheetView tabSelected="1" zoomScale="70" zoomScaleNormal="70" topLeftCell="D2" workbookViewId="0">
      <selection activeCell="F28" sqref="F28"/>
    </sheetView>
  </sheetViews>
  <sheetFormatPr defaultColWidth="9" defaultRowHeight="12.5"/>
  <cols>
    <col min="5" max="5" width="31.9545454545455" customWidth="1"/>
    <col min="6" max="6" width="37.4909090909091" customWidth="1"/>
    <col min="7" max="7" width="36.2727272727273" customWidth="1"/>
    <col min="8" max="8" width="21.0363636363636" customWidth="1"/>
    <col min="9" max="9" width="20.0909090909091" customWidth="1"/>
    <col min="10" max="10" width="12.5363636363636" customWidth="1"/>
    <col min="11" max="11" width="13.0818181818182" customWidth="1"/>
    <col min="12" max="12" width="10.2454545454545" customWidth="1"/>
  </cols>
  <sheetData>
    <row r="1" ht="13" spans="5:12">
      <c r="E1" s="8" t="s">
        <v>0</v>
      </c>
      <c r="F1" s="8"/>
      <c r="G1" s="8"/>
      <c r="H1" s="8"/>
      <c r="I1" s="8"/>
      <c r="J1" s="8"/>
      <c r="K1" s="8"/>
      <c r="L1" s="8"/>
    </row>
    <row r="2" spans="5:6">
      <c r="E2" s="9"/>
      <c r="F2" s="1" t="s">
        <v>1</v>
      </c>
    </row>
    <row r="5" spans="5:5">
      <c r="E5" s="1" t="s">
        <v>2</v>
      </c>
    </row>
    <row r="6" spans="6:11">
      <c r="F6" s="1" t="s">
        <v>3</v>
      </c>
      <c r="G6" s="1" t="s">
        <v>4</v>
      </c>
      <c r="H6" s="10" t="s">
        <v>5</v>
      </c>
      <c r="I6" s="10" t="s">
        <v>6</v>
      </c>
      <c r="J6" s="10" t="s">
        <v>7</v>
      </c>
      <c r="K6" s="1" t="s">
        <v>8</v>
      </c>
    </row>
    <row r="7" spans="5:11">
      <c r="E7" s="1" t="s">
        <v>9</v>
      </c>
      <c r="F7">
        <v>22</v>
      </c>
      <c r="G7">
        <v>3</v>
      </c>
      <c r="H7" s="10">
        <v>8</v>
      </c>
      <c r="I7" s="9">
        <v>3</v>
      </c>
      <c r="J7" s="9">
        <v>10</v>
      </c>
      <c r="K7" s="72">
        <f>F7*G7*H7*I7*J7</f>
        <v>15840</v>
      </c>
    </row>
    <row r="8" spans="5:11">
      <c r="E8" s="1" t="s">
        <v>10</v>
      </c>
      <c r="F8">
        <v>18</v>
      </c>
      <c r="G8">
        <v>7.5</v>
      </c>
      <c r="H8" s="11">
        <v>7</v>
      </c>
      <c r="I8" s="11">
        <v>3</v>
      </c>
      <c r="J8" s="11">
        <v>0</v>
      </c>
      <c r="K8">
        <f>F8*G8*H8*I8*J8</f>
        <v>0</v>
      </c>
    </row>
    <row r="10" spans="6:10">
      <c r="F10" s="1" t="s">
        <v>11</v>
      </c>
      <c r="G10" s="10" t="s">
        <v>5</v>
      </c>
      <c r="H10" s="10" t="s">
        <v>6</v>
      </c>
      <c r="I10" s="10" t="s">
        <v>12</v>
      </c>
      <c r="J10" s="1" t="s">
        <v>8</v>
      </c>
    </row>
    <row r="11" spans="5:10">
      <c r="E11" s="1" t="s">
        <v>13</v>
      </c>
      <c r="F11">
        <v>220</v>
      </c>
      <c r="G11" s="10">
        <v>8</v>
      </c>
      <c r="H11" s="9">
        <v>3</v>
      </c>
      <c r="I11" s="9">
        <v>10</v>
      </c>
      <c r="J11" s="72">
        <f>F11*G11*H11*I11</f>
        <v>52800</v>
      </c>
    </row>
    <row r="12" spans="5:10">
      <c r="E12" s="1" t="s">
        <v>14</v>
      </c>
      <c r="F12">
        <v>240</v>
      </c>
      <c r="G12" s="11">
        <v>1</v>
      </c>
      <c r="H12" s="11">
        <v>2</v>
      </c>
      <c r="I12" s="11">
        <v>0</v>
      </c>
      <c r="J12">
        <f>F12*G12*H12*I12</f>
        <v>0</v>
      </c>
    </row>
    <row r="14" ht="13.25"/>
    <row r="15" ht="13.25" spans="5:12">
      <c r="E15" s="12" t="s">
        <v>2</v>
      </c>
      <c r="F15" s="13" t="s">
        <v>15</v>
      </c>
      <c r="G15" s="14" t="s">
        <v>16</v>
      </c>
      <c r="H15" s="14" t="s">
        <v>17</v>
      </c>
      <c r="I15" s="14" t="s">
        <v>18</v>
      </c>
      <c r="J15" s="73" t="s">
        <v>19</v>
      </c>
      <c r="K15" s="74"/>
      <c r="L15" s="74"/>
    </row>
    <row r="16" ht="13.25" spans="5:12">
      <c r="E16" s="15" t="s">
        <v>20</v>
      </c>
      <c r="F16" s="16">
        <v>2400</v>
      </c>
      <c r="G16" s="10">
        <v>85</v>
      </c>
      <c r="H16" s="17">
        <v>0.15</v>
      </c>
      <c r="I16" s="9">
        <v>6</v>
      </c>
      <c r="J16" s="75">
        <f>F16*G16*H16*I16</f>
        <v>183600</v>
      </c>
      <c r="K16" s="21"/>
      <c r="L16" s="21"/>
    </row>
    <row r="17" ht="13.25" spans="5:12">
      <c r="E17" s="18" t="s">
        <v>21</v>
      </c>
      <c r="F17" s="19">
        <v>2500</v>
      </c>
      <c r="G17" s="20">
        <v>200</v>
      </c>
      <c r="H17" s="20">
        <v>0.15</v>
      </c>
      <c r="I17" s="20">
        <v>0</v>
      </c>
      <c r="J17" s="76">
        <f>F17*G17*H17*I17</f>
        <v>0</v>
      </c>
      <c r="K17" s="21"/>
      <c r="L17" s="21"/>
    </row>
    <row r="18" ht="13.25"/>
    <row r="19" ht="13.25" spans="5:11">
      <c r="E19" s="12" t="s">
        <v>2</v>
      </c>
      <c r="F19" s="13" t="s">
        <v>22</v>
      </c>
      <c r="G19" s="13" t="s">
        <v>11</v>
      </c>
      <c r="H19" s="14"/>
      <c r="I19" s="14"/>
      <c r="J19" s="14" t="s">
        <v>12</v>
      </c>
      <c r="K19" s="77" t="s">
        <v>19</v>
      </c>
    </row>
    <row r="20" ht="13.25" spans="5:11">
      <c r="E20" s="15" t="s">
        <v>23</v>
      </c>
      <c r="F20" s="16" t="s">
        <v>24</v>
      </c>
      <c r="G20" s="16" t="s">
        <v>25</v>
      </c>
      <c r="H20" s="21" t="s">
        <v>26</v>
      </c>
      <c r="I20" s="74" t="s">
        <v>27</v>
      </c>
      <c r="J20" s="74" t="s">
        <v>28</v>
      </c>
      <c r="K20" s="78" t="s">
        <v>19</v>
      </c>
    </row>
    <row r="21" ht="13.25" spans="5:11">
      <c r="E21" s="18"/>
      <c r="F21" s="19">
        <v>0.1</v>
      </c>
      <c r="G21" s="19">
        <v>0.1</v>
      </c>
      <c r="H21" s="22">
        <v>15</v>
      </c>
      <c r="I21" s="59">
        <v>6</v>
      </c>
      <c r="J21" s="9">
        <v>0</v>
      </c>
      <c r="K21" s="79">
        <f>F21*G21*H21*I21*J21</f>
        <v>0</v>
      </c>
    </row>
    <row r="22" spans="5:11">
      <c r="E22" s="23" t="s">
        <v>29</v>
      </c>
      <c r="F22" s="24" t="s">
        <v>24</v>
      </c>
      <c r="G22" s="24" t="s">
        <v>25</v>
      </c>
      <c r="H22" s="25" t="s">
        <v>26</v>
      </c>
      <c r="I22" s="80" t="s">
        <v>27</v>
      </c>
      <c r="J22" s="80" t="s">
        <v>28</v>
      </c>
      <c r="K22" s="81" t="s">
        <v>19</v>
      </c>
    </row>
    <row r="23" ht="13.25" spans="5:11">
      <c r="E23" s="18"/>
      <c r="F23" s="19">
        <v>0.1</v>
      </c>
      <c r="G23" s="19">
        <v>0.15</v>
      </c>
      <c r="H23" s="22">
        <v>5</v>
      </c>
      <c r="I23" s="22">
        <v>6</v>
      </c>
      <c r="J23" s="22">
        <v>0</v>
      </c>
      <c r="K23" s="82">
        <f>F23*G23*H23*I23*J23</f>
        <v>0</v>
      </c>
    </row>
    <row r="24" ht="13.25" spans="5:10">
      <c r="E24" s="26" t="s">
        <v>2</v>
      </c>
      <c r="F24" s="13" t="s">
        <v>11</v>
      </c>
      <c r="G24" s="14" t="s">
        <v>30</v>
      </c>
      <c r="H24" s="14" t="s">
        <v>31</v>
      </c>
      <c r="I24" s="14" t="s">
        <v>32</v>
      </c>
      <c r="J24" s="77" t="s">
        <v>33</v>
      </c>
    </row>
    <row r="25" ht="13.25" spans="5:10">
      <c r="E25" s="15" t="s">
        <v>34</v>
      </c>
      <c r="F25" s="16">
        <v>2.4</v>
      </c>
      <c r="G25" s="10">
        <v>8</v>
      </c>
      <c r="H25" s="9">
        <v>3</v>
      </c>
      <c r="I25" s="9">
        <v>6</v>
      </c>
      <c r="J25" s="83">
        <f>F25*G25*H25*I25</f>
        <v>345.6</v>
      </c>
    </row>
    <row r="26" spans="5:11">
      <c r="E26" s="27" t="s">
        <v>35</v>
      </c>
      <c r="F26" s="27"/>
      <c r="G26" s="27"/>
      <c r="H26" s="27"/>
      <c r="I26" s="27"/>
      <c r="J26" s="36"/>
      <c r="K26" s="84">
        <f>K23+J25</f>
        <v>345.6</v>
      </c>
    </row>
    <row r="27" ht="13.25" spans="5:11">
      <c r="E27" s="28" t="s">
        <v>2</v>
      </c>
      <c r="F27" s="29" t="s">
        <v>26</v>
      </c>
      <c r="G27" s="30" t="s">
        <v>36</v>
      </c>
      <c r="H27" s="31" t="s">
        <v>19</v>
      </c>
      <c r="I27" s="85"/>
      <c r="K27" s="16"/>
    </row>
    <row r="28" ht="13.25" spans="5:11">
      <c r="E28" s="32" t="s">
        <v>37</v>
      </c>
      <c r="F28" s="33">
        <v>45</v>
      </c>
      <c r="G28" s="10">
        <v>85</v>
      </c>
      <c r="H28" s="34">
        <f>F28*G28</f>
        <v>3825</v>
      </c>
      <c r="I28" s="86"/>
      <c r="J28" s="21"/>
      <c r="K28" s="16"/>
    </row>
    <row r="29" spans="5:11">
      <c r="E29" s="35" t="s">
        <v>38</v>
      </c>
      <c r="F29" s="36" t="s">
        <v>26</v>
      </c>
      <c r="G29" s="37">
        <v>125</v>
      </c>
      <c r="H29" s="38" t="s">
        <v>39</v>
      </c>
      <c r="I29" s="87" t="s">
        <v>19</v>
      </c>
      <c r="J29" s="21"/>
      <c r="K29" s="16"/>
    </row>
    <row r="30" spans="5:11">
      <c r="E30" s="35"/>
      <c r="F30" s="36">
        <v>24.5</v>
      </c>
      <c r="G30" s="38">
        <v>0.6</v>
      </c>
      <c r="H30" s="38">
        <v>3</v>
      </c>
      <c r="I30" s="87">
        <f>F30*G30*H30</f>
        <v>44.1</v>
      </c>
      <c r="J30" s="21"/>
      <c r="K30" s="16"/>
    </row>
    <row r="31" spans="5:11">
      <c r="E31" s="35" t="s">
        <v>40</v>
      </c>
      <c r="F31" s="39" t="s">
        <v>41</v>
      </c>
      <c r="G31" s="37" t="s">
        <v>3</v>
      </c>
      <c r="H31" s="40" t="s">
        <v>19</v>
      </c>
      <c r="I31" s="87"/>
      <c r="J31" s="21"/>
      <c r="K31" s="16"/>
    </row>
    <row r="32" spans="5:11">
      <c r="E32" s="35"/>
      <c r="F32" s="40">
        <v>4</v>
      </c>
      <c r="G32" s="9">
        <v>360</v>
      </c>
      <c r="H32" s="40">
        <f>F32*G32</f>
        <v>1440</v>
      </c>
      <c r="I32" s="87"/>
      <c r="J32" s="88">
        <f>I30+H32</f>
        <v>1484.1</v>
      </c>
      <c r="K32" s="16"/>
    </row>
    <row r="33" ht="13.25" spans="5:11">
      <c r="E33" s="41" t="s">
        <v>8</v>
      </c>
      <c r="F33" s="42"/>
      <c r="G33" s="42"/>
      <c r="H33" s="43"/>
      <c r="I33" s="89">
        <f>H32+I30+H28</f>
        <v>5309.1</v>
      </c>
      <c r="J33" s="21"/>
      <c r="K33" s="16"/>
    </row>
    <row r="34" ht="13.25"/>
    <row r="35" ht="13.25" spans="5:11">
      <c r="E35" s="26" t="s">
        <v>2</v>
      </c>
      <c r="F35" s="44" t="s">
        <v>11</v>
      </c>
      <c r="G35" s="44" t="s">
        <v>30</v>
      </c>
      <c r="H35" s="44" t="s">
        <v>31</v>
      </c>
      <c r="I35" s="44" t="s">
        <v>42</v>
      </c>
      <c r="J35" s="44" t="s">
        <v>12</v>
      </c>
      <c r="K35" s="77" t="s">
        <v>33</v>
      </c>
    </row>
    <row r="36" ht="14" spans="5:11">
      <c r="E36" s="18" t="s">
        <v>43</v>
      </c>
      <c r="F36" s="20">
        <v>2.4</v>
      </c>
      <c r="G36" s="20">
        <v>6</v>
      </c>
      <c r="H36" s="20">
        <v>3</v>
      </c>
      <c r="I36" s="20">
        <v>6</v>
      </c>
      <c r="J36" s="20">
        <v>12</v>
      </c>
      <c r="K36" s="82">
        <f>F36*G36*H36*I36*J36</f>
        <v>3110.4</v>
      </c>
    </row>
    <row r="37" ht="13.25"/>
    <row r="38" ht="13.25" spans="5:8">
      <c r="E38" s="45" t="s">
        <v>2</v>
      </c>
      <c r="F38" s="46" t="s">
        <v>44</v>
      </c>
      <c r="G38" s="47" t="s">
        <v>3</v>
      </c>
      <c r="H38" s="48" t="s">
        <v>19</v>
      </c>
    </row>
    <row r="39" ht="13.25" spans="5:8">
      <c r="E39" s="49" t="s">
        <v>45</v>
      </c>
      <c r="F39" s="33">
        <v>71</v>
      </c>
      <c r="G39" s="50">
        <v>0</v>
      </c>
      <c r="H39" s="51">
        <f>F39*G39/100</f>
        <v>0</v>
      </c>
    </row>
    <row r="40" spans="5:8">
      <c r="E40" s="52"/>
      <c r="F40" s="36" t="s">
        <v>46</v>
      </c>
      <c r="G40" s="38" t="s">
        <v>47</v>
      </c>
      <c r="H40" s="53" t="s">
        <v>48</v>
      </c>
    </row>
    <row r="41" spans="5:8">
      <c r="E41" s="52" t="s">
        <v>49</v>
      </c>
      <c r="F41" s="36">
        <v>2</v>
      </c>
      <c r="G41" s="54">
        <v>0</v>
      </c>
      <c r="H41" s="53">
        <f>F41*G41/1000</f>
        <v>0</v>
      </c>
    </row>
    <row r="42" ht="13.25" spans="5:8">
      <c r="E42" s="55" t="s">
        <v>50</v>
      </c>
      <c r="F42" s="56"/>
      <c r="G42" s="56"/>
      <c r="H42" s="57">
        <f>H41+H39*0.001</f>
        <v>0</v>
      </c>
    </row>
    <row r="43" ht="13.25"/>
    <row r="44" ht="13.25" spans="5:9">
      <c r="E44" s="45" t="s">
        <v>2</v>
      </c>
      <c r="F44" s="13" t="s">
        <v>51</v>
      </c>
      <c r="G44" s="13" t="s">
        <v>52</v>
      </c>
      <c r="H44" s="13" t="s">
        <v>53</v>
      </c>
      <c r="I44" s="77" t="s">
        <v>54</v>
      </c>
    </row>
    <row r="45" ht="14" spans="5:9">
      <c r="E45" s="18" t="s">
        <v>55</v>
      </c>
      <c r="F45" s="58">
        <v>0.6</v>
      </c>
      <c r="G45" s="19">
        <v>4</v>
      </c>
      <c r="H45" s="59">
        <v>5</v>
      </c>
      <c r="I45" s="79">
        <f>F45*G45*H45</f>
        <v>12</v>
      </c>
    </row>
    <row r="46" ht="13.25" spans="5:12">
      <c r="E46" s="45" t="s">
        <v>2</v>
      </c>
      <c r="F46" s="13" t="s">
        <v>56</v>
      </c>
      <c r="G46" s="13" t="s">
        <v>57</v>
      </c>
      <c r="H46" s="13" t="s">
        <v>12</v>
      </c>
      <c r="I46" s="77" t="s">
        <v>19</v>
      </c>
      <c r="J46" s="16"/>
      <c r="K46" s="16"/>
      <c r="L46" s="16"/>
    </row>
    <row r="47" ht="14" spans="5:12">
      <c r="E47" s="60" t="s">
        <v>58</v>
      </c>
      <c r="F47" s="19">
        <v>10</v>
      </c>
      <c r="G47" s="59">
        <v>6</v>
      </c>
      <c r="H47" s="9">
        <v>0</v>
      </c>
      <c r="I47" s="79">
        <f>F47*G47*H47</f>
        <v>0</v>
      </c>
      <c r="J47" s="16"/>
      <c r="K47" s="16"/>
      <c r="L47" s="16"/>
    </row>
    <row r="48" spans="5:12">
      <c r="E48" s="32" t="s">
        <v>2</v>
      </c>
      <c r="F48" s="61" t="s">
        <v>59</v>
      </c>
      <c r="G48" s="61" t="s">
        <v>60</v>
      </c>
      <c r="H48" s="62" t="s">
        <v>8</v>
      </c>
      <c r="I48" s="16"/>
      <c r="J48" s="16"/>
      <c r="K48" s="16"/>
      <c r="L48" s="16"/>
    </row>
    <row r="49" ht="13.25" spans="5:12">
      <c r="E49" s="63" t="s">
        <v>61</v>
      </c>
      <c r="F49" s="64">
        <v>40</v>
      </c>
      <c r="G49" s="10">
        <v>85</v>
      </c>
      <c r="H49" s="65">
        <f>F49*G49</f>
        <v>3400</v>
      </c>
      <c r="I49" s="16"/>
      <c r="J49" s="16"/>
      <c r="K49" s="16"/>
      <c r="L49" s="16"/>
    </row>
    <row r="50" spans="5:9">
      <c r="E50" s="66" t="s">
        <v>2</v>
      </c>
      <c r="F50" s="67" t="s">
        <v>59</v>
      </c>
      <c r="G50" s="67" t="s">
        <v>62</v>
      </c>
      <c r="H50" s="67" t="s">
        <v>63</v>
      </c>
      <c r="I50" s="90" t="s">
        <v>8</v>
      </c>
    </row>
    <row r="51" ht="13.25" spans="5:9">
      <c r="E51" s="55" t="s">
        <v>64</v>
      </c>
      <c r="F51" s="68">
        <v>20</v>
      </c>
      <c r="G51" s="10">
        <v>85</v>
      </c>
      <c r="H51" s="9">
        <v>10</v>
      </c>
      <c r="I51" s="57">
        <f>F51*G51*H51</f>
        <v>17000</v>
      </c>
    </row>
    <row r="52" ht="13.25" spans="5:9">
      <c r="E52" s="69"/>
      <c r="F52" s="70"/>
      <c r="G52" s="70"/>
      <c r="H52" s="71"/>
      <c r="I52" s="91">
        <f>H49+I51</f>
        <v>20400</v>
      </c>
    </row>
    <row r="53" spans="5:11">
      <c r="E53" s="61" t="s">
        <v>2</v>
      </c>
      <c r="F53" s="61" t="s">
        <v>65</v>
      </c>
      <c r="G53" s="61" t="s">
        <v>66</v>
      </c>
      <c r="H53" s="61" t="s">
        <v>67</v>
      </c>
      <c r="I53" s="61" t="s">
        <v>68</v>
      </c>
      <c r="J53" s="39" t="s">
        <v>47</v>
      </c>
      <c r="K53" s="39" t="s">
        <v>33</v>
      </c>
    </row>
    <row r="54" spans="5:11">
      <c r="E54" s="39" t="s">
        <v>69</v>
      </c>
      <c r="F54" s="36">
        <v>3.3</v>
      </c>
      <c r="G54" s="36">
        <v>0.92</v>
      </c>
      <c r="H54" s="36">
        <v>0.0055</v>
      </c>
      <c r="I54" s="36">
        <v>1400</v>
      </c>
      <c r="J54" s="36">
        <v>0</v>
      </c>
      <c r="K54" s="36">
        <f>F54*G54*H54*I54*J54</f>
        <v>0</v>
      </c>
    </row>
    <row r="55" spans="9:9">
      <c r="I55" s="1"/>
    </row>
  </sheetData>
  <mergeCells count="7">
    <mergeCell ref="E1:L1"/>
    <mergeCell ref="E26:I26"/>
    <mergeCell ref="H27:I27"/>
    <mergeCell ref="H28:I28"/>
    <mergeCell ref="E33:H33"/>
    <mergeCell ref="E42:G42"/>
    <mergeCell ref="E52:H5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6:H32"/>
  <sheetViews>
    <sheetView topLeftCell="F10" workbookViewId="0">
      <selection activeCell="J33" sqref="J33"/>
    </sheetView>
  </sheetViews>
  <sheetFormatPr defaultColWidth="9" defaultRowHeight="12.5" outlineLevelCol="7"/>
  <cols>
    <col min="6" max="6" width="69.4454545454546" customWidth="1"/>
    <col min="7" max="7" width="17.8" customWidth="1"/>
    <col min="8" max="8" width="10.6545454545455" customWidth="1"/>
  </cols>
  <sheetData>
    <row r="6" spans="5:7">
      <c r="E6" s="1" t="s">
        <v>70</v>
      </c>
      <c r="F6" s="1" t="s">
        <v>71</v>
      </c>
      <c r="G6" s="1" t="s">
        <v>72</v>
      </c>
    </row>
    <row r="7" spans="5:7">
      <c r="E7" s="1" t="s">
        <v>73</v>
      </c>
      <c r="F7" s="1" t="s">
        <v>74</v>
      </c>
      <c r="G7" s="2">
        <v>0</v>
      </c>
    </row>
    <row r="8" spans="5:7">
      <c r="E8" s="1" t="s">
        <v>75</v>
      </c>
      <c r="F8" s="1" t="s">
        <v>76</v>
      </c>
      <c r="G8" s="2">
        <v>0</v>
      </c>
    </row>
    <row r="9" spans="5:7">
      <c r="E9" s="1" t="s">
        <v>77</v>
      </c>
      <c r="F9" s="1" t="s">
        <v>78</v>
      </c>
      <c r="G9" s="2">
        <f>Sayfa1!H42</f>
        <v>0</v>
      </c>
    </row>
    <row r="10" spans="5:7">
      <c r="E10" s="1" t="s">
        <v>79</v>
      </c>
      <c r="F10" s="1" t="s">
        <v>80</v>
      </c>
      <c r="G10" s="2">
        <v>0</v>
      </c>
    </row>
    <row r="11" spans="5:7">
      <c r="E11" s="1" t="s">
        <v>81</v>
      </c>
      <c r="F11" s="1" t="s">
        <v>82</v>
      </c>
      <c r="G11" s="2">
        <v>0</v>
      </c>
    </row>
    <row r="12" spans="5:7">
      <c r="E12" s="1" t="s">
        <v>83</v>
      </c>
      <c r="F12" s="1" t="s">
        <v>84</v>
      </c>
      <c r="G12" s="2">
        <v>0</v>
      </c>
    </row>
    <row r="13" spans="5:7">
      <c r="E13" s="1" t="s">
        <v>85</v>
      </c>
      <c r="F13" s="1" t="s">
        <v>86</v>
      </c>
      <c r="G13" s="2">
        <f>Sayfa1!K54</f>
        <v>0</v>
      </c>
    </row>
    <row r="14" spans="5:7">
      <c r="E14" s="1" t="s">
        <v>87</v>
      </c>
      <c r="F14" s="1" t="s">
        <v>88</v>
      </c>
      <c r="G14" s="2">
        <v>0</v>
      </c>
    </row>
    <row r="15" spans="5:7">
      <c r="E15" s="1"/>
      <c r="F15" s="1" t="s">
        <v>89</v>
      </c>
      <c r="G15" s="2">
        <f>Sayfa1!K7</f>
        <v>15840</v>
      </c>
    </row>
    <row r="16" spans="5:7">
      <c r="E16" s="1" t="s">
        <v>90</v>
      </c>
      <c r="F16" s="1" t="s">
        <v>91</v>
      </c>
      <c r="G16" s="2">
        <f>Sayfa1!J16</f>
        <v>183600</v>
      </c>
    </row>
    <row r="17" spans="5:7">
      <c r="E17" s="1" t="s">
        <v>92</v>
      </c>
      <c r="F17" s="1" t="s">
        <v>93</v>
      </c>
      <c r="G17" s="2">
        <f>Sayfa1!I33</f>
        <v>5309.1</v>
      </c>
    </row>
    <row r="18" spans="5:7">
      <c r="E18" s="1" t="s">
        <v>94</v>
      </c>
      <c r="F18" s="1" t="s">
        <v>95</v>
      </c>
      <c r="G18" s="2">
        <f>Sayfa1!K26</f>
        <v>345.6</v>
      </c>
    </row>
    <row r="19" spans="5:7">
      <c r="E19" s="1" t="s">
        <v>96</v>
      </c>
      <c r="F19" s="1" t="s">
        <v>97</v>
      </c>
      <c r="G19" s="2"/>
    </row>
    <row r="20" spans="5:7">
      <c r="E20" s="1" t="s">
        <v>98</v>
      </c>
      <c r="F20" s="1" t="s">
        <v>99</v>
      </c>
      <c r="G20" s="2">
        <f>Sayfa1!J11</f>
        <v>52800</v>
      </c>
    </row>
    <row r="21" spans="5:7">
      <c r="E21" s="1" t="s">
        <v>100</v>
      </c>
      <c r="F21" s="1" t="s">
        <v>101</v>
      </c>
      <c r="G21" s="2">
        <v>0</v>
      </c>
    </row>
    <row r="22" spans="5:7">
      <c r="E22" s="1" t="s">
        <v>102</v>
      </c>
      <c r="F22" s="1" t="s">
        <v>103</v>
      </c>
      <c r="G22" s="2">
        <f>Sayfa1!I52</f>
        <v>20400</v>
      </c>
    </row>
    <row r="23" spans="5:7">
      <c r="E23" s="1" t="s">
        <v>104</v>
      </c>
      <c r="F23" s="1" t="s">
        <v>105</v>
      </c>
      <c r="G23" s="2">
        <f>Sayfa1!I45</f>
        <v>12</v>
      </c>
    </row>
    <row r="24" spans="5:7">
      <c r="E24" s="1" t="s">
        <v>106</v>
      </c>
      <c r="F24" s="1" t="s">
        <v>107</v>
      </c>
      <c r="G24" s="2">
        <f>Sayfa1!K21</f>
        <v>0</v>
      </c>
    </row>
    <row r="25" spans="5:7">
      <c r="E25" s="1" t="s">
        <v>108</v>
      </c>
      <c r="F25" s="1" t="s">
        <v>109</v>
      </c>
      <c r="G25" s="2">
        <v>0</v>
      </c>
    </row>
    <row r="26" spans="5:7">
      <c r="E26" s="1" t="s">
        <v>110</v>
      </c>
      <c r="F26" s="1" t="s">
        <v>111</v>
      </c>
      <c r="G26" s="2">
        <f>Sayfa1!I47</f>
        <v>0</v>
      </c>
    </row>
    <row r="27" spans="5:8">
      <c r="E27" s="3" t="s">
        <v>8</v>
      </c>
      <c r="F27" s="3"/>
      <c r="G27" s="4">
        <f>SUM(G7:G26)</f>
        <v>278306.7</v>
      </c>
      <c r="H27" s="5"/>
    </row>
    <row r="32" ht="62.5" spans="5:6">
      <c r="E32" s="6" t="s">
        <v>112</v>
      </c>
      <c r="F32" s="7" t="s">
        <v>113</v>
      </c>
    </row>
  </sheetData>
  <mergeCells count="1">
    <mergeCell ref="E27:F2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gizem</cp:lastModifiedBy>
  <dcterms:created xsi:type="dcterms:W3CDTF">2001-09-27T14:40:00Z</dcterms:created>
  <cp:lastPrinted>2014-06-12T11:27:00Z</cp:lastPrinted>
  <dcterms:modified xsi:type="dcterms:W3CDTF">2026-08-29T18:35:53Z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B7D258E3BE3A4F7687B8676BAD1A8E75_13</vt:lpwstr>
  </property>
  <property fmtid="{D5CDD505-2E9C-101B-9397-08002B2CF9AE}" pid="3" name="KSOProductBuildVer">
    <vt:lpwstr>1033-12.2.0.23206</vt:lpwstr>
  </property>
</Properties>
</file>