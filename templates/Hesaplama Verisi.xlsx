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deg\Downloads\"/>
    </mc:Choice>
  </mc:AlternateContent>
  <xr:revisionPtr revIDLastSave="0" documentId="13_ncr:1_{34786F4F-B0A6-42D0-97CD-BB463A28A250}" xr6:coauthVersionLast="47" xr6:coauthVersionMax="47" xr10:uidLastSave="{00000000-0000-0000-0000-000000000000}"/>
  <bookViews>
    <workbookView xWindow="1875" yWindow="1470" windowWidth="20445" windowHeight="11295" firstSheet="3" activeTab="7" xr2:uid="{4327FBC9-1B1C-43CE-AEDE-094E8EA6759B}"/>
  </bookViews>
  <sheets>
    <sheet name="Gündüz" sheetId="1" r:id="rId1"/>
    <sheet name="Gündüz Arka Plan" sheetId="2" r:id="rId2"/>
    <sheet name="Akşam" sheetId="3" r:id="rId3"/>
    <sheet name="Akşam Arka Plan" sheetId="4" r:id="rId4"/>
    <sheet name="Gece" sheetId="5" r:id="rId5"/>
    <sheet name="Gece Arka Plan" sheetId="6" r:id="rId6"/>
    <sheet name="Gürültü Kaynaklar" sheetId="20" r:id="rId7"/>
    <sheet name="Çevre Şartları" sheetId="21" r:id="rId8"/>
    <sheet name="İşletme Faaliyetteyken" sheetId="9" r:id="rId9"/>
    <sheet name="İşletme Faaliyette Değilken" sheetId="10" r:id="rId10"/>
    <sheet name="Darbesellik" sheetId="11" r:id="rId11"/>
    <sheet name="Düşük Frekans" sheetId="12" r:id="rId12"/>
    <sheet name="Saf Kaynak Gürültüsü" sheetId="14" r:id="rId13"/>
    <sheet name="Ses Etkilenim Seviyesi (Lr)" sheetId="15" r:id="rId14"/>
    <sheet name="Sonuç Değerlendirme" sheetId="16" r:id="rId15"/>
    <sheet name="Bitişik Nizam" sheetId="17" r:id="rId16"/>
    <sheet name="Düşük Frekans Değerlendirmesi" sheetId="18" r:id="rId17"/>
    <sheet name="LC MAX" sheetId="19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3" i="21" l="1"/>
  <c r="B13" i="21"/>
  <c r="A14" i="21"/>
  <c r="B14" i="21"/>
  <c r="B12" i="21"/>
  <c r="A12" i="21"/>
  <c r="A9" i="21"/>
  <c r="B9" i="21"/>
  <c r="A10" i="21"/>
  <c r="B10" i="21"/>
  <c r="B8" i="21"/>
  <c r="A8" i="21"/>
  <c r="A5" i="21"/>
  <c r="B5" i="21"/>
  <c r="A6" i="21"/>
  <c r="B6" i="21"/>
  <c r="B4" i="21"/>
  <c r="A4" i="21"/>
  <c r="D14" i="17"/>
  <c r="D13" i="17"/>
  <c r="D12" i="17"/>
  <c r="D9" i="17"/>
  <c r="D10" i="17"/>
  <c r="D8" i="17"/>
  <c r="D5" i="17"/>
  <c r="D6" i="17"/>
  <c r="D4" i="17"/>
  <c r="C13" i="19"/>
  <c r="C14" i="19"/>
  <c r="C12" i="19"/>
  <c r="C9" i="19"/>
  <c r="C10" i="19"/>
  <c r="C8" i="19"/>
  <c r="A13" i="19"/>
  <c r="B13" i="19"/>
  <c r="A14" i="19"/>
  <c r="B14" i="19"/>
  <c r="B12" i="19"/>
  <c r="A12" i="19"/>
  <c r="A9" i="19"/>
  <c r="B9" i="19"/>
  <c r="A10" i="19"/>
  <c r="B10" i="19"/>
  <c r="B8" i="19"/>
  <c r="A8" i="19"/>
  <c r="C5" i="19"/>
  <c r="C6" i="19"/>
  <c r="C4" i="19"/>
  <c r="A5" i="19"/>
  <c r="B5" i="19"/>
  <c r="A6" i="19"/>
  <c r="B6" i="19"/>
  <c r="B4" i="19"/>
  <c r="A4" i="19"/>
  <c r="A15" i="18"/>
  <c r="B15" i="18"/>
  <c r="A16" i="18"/>
  <c r="B16" i="18"/>
  <c r="B14" i="18"/>
  <c r="A14" i="18"/>
  <c r="A10" i="18"/>
  <c r="B10" i="18"/>
  <c r="A11" i="18"/>
  <c r="B11" i="18"/>
  <c r="B9" i="18"/>
  <c r="A9" i="18"/>
  <c r="A5" i="18"/>
  <c r="B5" i="18"/>
  <c r="A6" i="18"/>
  <c r="B6" i="18"/>
  <c r="B4" i="18"/>
  <c r="A4" i="18"/>
  <c r="C15" i="18"/>
  <c r="D15" i="18"/>
  <c r="E15" i="18"/>
  <c r="F15" i="18"/>
  <c r="G15" i="18"/>
  <c r="H15" i="18"/>
  <c r="I15" i="18"/>
  <c r="C16" i="18"/>
  <c r="D16" i="18"/>
  <c r="E16" i="18"/>
  <c r="F16" i="18"/>
  <c r="G16" i="18"/>
  <c r="H16" i="18"/>
  <c r="I16" i="18"/>
  <c r="D14" i="18"/>
  <c r="E14" i="18"/>
  <c r="F14" i="18"/>
  <c r="G14" i="18"/>
  <c r="H14" i="18"/>
  <c r="I14" i="18"/>
  <c r="C14" i="18"/>
  <c r="C10" i="18"/>
  <c r="D10" i="18"/>
  <c r="E10" i="18"/>
  <c r="F10" i="18"/>
  <c r="G10" i="18"/>
  <c r="H10" i="18"/>
  <c r="I10" i="18"/>
  <c r="C11" i="18"/>
  <c r="D11" i="18"/>
  <c r="E11" i="18"/>
  <c r="F11" i="18"/>
  <c r="G11" i="18"/>
  <c r="H11" i="18"/>
  <c r="I11" i="18"/>
  <c r="D9" i="18"/>
  <c r="E9" i="18"/>
  <c r="F9" i="18"/>
  <c r="G9" i="18"/>
  <c r="H9" i="18"/>
  <c r="I9" i="18"/>
  <c r="C9" i="18"/>
  <c r="C5" i="18"/>
  <c r="D5" i="18"/>
  <c r="E5" i="18"/>
  <c r="F5" i="18"/>
  <c r="G5" i="18"/>
  <c r="H5" i="18"/>
  <c r="I5" i="18"/>
  <c r="C6" i="18"/>
  <c r="D6" i="18"/>
  <c r="E6" i="18"/>
  <c r="F6" i="18"/>
  <c r="G6" i="18"/>
  <c r="H6" i="18"/>
  <c r="I6" i="18"/>
  <c r="D4" i="18"/>
  <c r="E4" i="18"/>
  <c r="F4" i="18"/>
  <c r="G4" i="18"/>
  <c r="H4" i="18"/>
  <c r="I4" i="18"/>
  <c r="C4" i="18"/>
  <c r="A13" i="16"/>
  <c r="B13" i="16"/>
  <c r="A14" i="16"/>
  <c r="B14" i="16"/>
  <c r="B12" i="16"/>
  <c r="A12" i="16"/>
  <c r="A9" i="16"/>
  <c r="B9" i="16"/>
  <c r="A10" i="16"/>
  <c r="B10" i="16"/>
  <c r="B8" i="16"/>
  <c r="A8" i="16"/>
  <c r="A5" i="16"/>
  <c r="B5" i="16"/>
  <c r="A6" i="16"/>
  <c r="B6" i="16"/>
  <c r="B4" i="16"/>
  <c r="A4" i="16"/>
  <c r="F13" i="16"/>
  <c r="F14" i="16"/>
  <c r="F12" i="16"/>
  <c r="F9" i="16"/>
  <c r="F10" i="16"/>
  <c r="F8" i="16"/>
  <c r="F5" i="16"/>
  <c r="F6" i="16"/>
  <c r="F4" i="16"/>
  <c r="C13" i="16"/>
  <c r="D13" i="16"/>
  <c r="E13" i="16"/>
  <c r="C14" i="16"/>
  <c r="D14" i="16"/>
  <c r="E14" i="16"/>
  <c r="E12" i="16"/>
  <c r="D12" i="16"/>
  <c r="C12" i="16"/>
  <c r="C9" i="16"/>
  <c r="D9" i="16"/>
  <c r="E9" i="16"/>
  <c r="C10" i="16"/>
  <c r="D10" i="16"/>
  <c r="E10" i="16"/>
  <c r="E8" i="16"/>
  <c r="D8" i="16"/>
  <c r="C8" i="16"/>
  <c r="C5" i="16"/>
  <c r="D5" i="16"/>
  <c r="E5" i="16"/>
  <c r="C6" i="16"/>
  <c r="D6" i="16"/>
  <c r="E6" i="16"/>
  <c r="E4" i="16"/>
  <c r="D4" i="16"/>
  <c r="C4" i="16"/>
  <c r="I13" i="15"/>
  <c r="I14" i="15"/>
  <c r="I12" i="15"/>
  <c r="I9" i="15"/>
  <c r="I10" i="15"/>
  <c r="I8" i="15"/>
  <c r="I5" i="15"/>
  <c r="I6" i="15"/>
  <c r="I4" i="15"/>
  <c r="H13" i="15"/>
  <c r="H14" i="15"/>
  <c r="H12" i="15"/>
  <c r="H9" i="15"/>
  <c r="H10" i="15"/>
  <c r="H8" i="15"/>
  <c r="H5" i="15"/>
  <c r="H6" i="15"/>
  <c r="H4" i="15"/>
  <c r="F13" i="15"/>
  <c r="F14" i="15"/>
  <c r="F12" i="15"/>
  <c r="F9" i="15"/>
  <c r="F10" i="15"/>
  <c r="F8" i="15"/>
  <c r="F5" i="15"/>
  <c r="F6" i="15"/>
  <c r="F4" i="15"/>
  <c r="E13" i="15"/>
  <c r="E14" i="15"/>
  <c r="E12" i="15"/>
  <c r="E9" i="15"/>
  <c r="E10" i="15"/>
  <c r="E8" i="15"/>
  <c r="E5" i="15"/>
  <c r="E6" i="15"/>
  <c r="E4" i="15"/>
  <c r="D13" i="15"/>
  <c r="D14" i="15"/>
  <c r="D12" i="15"/>
  <c r="D9" i="15"/>
  <c r="D10" i="15"/>
  <c r="D8" i="15"/>
  <c r="D5" i="15"/>
  <c r="D6" i="15"/>
  <c r="D4" i="15"/>
  <c r="C13" i="15"/>
  <c r="C14" i="15"/>
  <c r="C12" i="15"/>
  <c r="C9" i="15"/>
  <c r="C10" i="15"/>
  <c r="C8" i="15"/>
  <c r="C5" i="15"/>
  <c r="C6" i="15"/>
  <c r="C4" i="15"/>
  <c r="A13" i="15"/>
  <c r="B13" i="15"/>
  <c r="A14" i="15"/>
  <c r="B14" i="15"/>
  <c r="B12" i="15"/>
  <c r="A12" i="15"/>
  <c r="A9" i="15"/>
  <c r="B9" i="15"/>
  <c r="A10" i="15"/>
  <c r="B10" i="15"/>
  <c r="B8" i="15"/>
  <c r="A8" i="15"/>
  <c r="A5" i="15"/>
  <c r="B5" i="15"/>
  <c r="A6" i="15"/>
  <c r="B6" i="15"/>
  <c r="B4" i="15"/>
  <c r="A4" i="15"/>
  <c r="F13" i="14"/>
  <c r="F14" i="14"/>
  <c r="F12" i="14"/>
  <c r="F9" i="14"/>
  <c r="F10" i="14"/>
  <c r="F8" i="14"/>
  <c r="F5" i="14"/>
  <c r="F6" i="14"/>
  <c r="F4" i="14"/>
  <c r="E13" i="14"/>
  <c r="E14" i="14"/>
  <c r="E12" i="14"/>
  <c r="E9" i="14"/>
  <c r="E10" i="14"/>
  <c r="E8" i="14"/>
  <c r="E5" i="14"/>
  <c r="E6" i="14"/>
  <c r="E4" i="14"/>
  <c r="D13" i="14"/>
  <c r="D14" i="14"/>
  <c r="D12" i="14"/>
  <c r="D9" i="14"/>
  <c r="D10" i="14"/>
  <c r="D8" i="14"/>
  <c r="D5" i="14"/>
  <c r="D6" i="14"/>
  <c r="D4" i="14"/>
  <c r="C13" i="14"/>
  <c r="C14" i="14"/>
  <c r="C12" i="14"/>
  <c r="C9" i="14"/>
  <c r="C10" i="14"/>
  <c r="C8" i="14"/>
  <c r="C5" i="14"/>
  <c r="C6" i="14"/>
  <c r="C4" i="14"/>
  <c r="A13" i="14"/>
  <c r="B13" i="14"/>
  <c r="A14" i="14"/>
  <c r="B14" i="14"/>
  <c r="B12" i="14"/>
  <c r="A12" i="14"/>
  <c r="A9" i="14"/>
  <c r="B9" i="14"/>
  <c r="A10" i="14"/>
  <c r="B10" i="14"/>
  <c r="B8" i="14"/>
  <c r="A8" i="14"/>
  <c r="A5" i="14"/>
  <c r="B5" i="14"/>
  <c r="A6" i="14"/>
  <c r="B6" i="14"/>
  <c r="B4" i="14"/>
  <c r="A4" i="14"/>
  <c r="E18" i="12"/>
  <c r="E19" i="12"/>
  <c r="E20" i="12"/>
  <c r="E21" i="12"/>
  <c r="E22" i="12"/>
  <c r="E17" i="12"/>
  <c r="E11" i="12"/>
  <c r="E12" i="12"/>
  <c r="E13" i="12"/>
  <c r="E14" i="12"/>
  <c r="E15" i="12"/>
  <c r="E10" i="12"/>
  <c r="E4" i="12"/>
  <c r="E5" i="12"/>
  <c r="E6" i="12"/>
  <c r="E7" i="12"/>
  <c r="E8" i="12"/>
  <c r="E3" i="12"/>
  <c r="C18" i="12"/>
  <c r="D18" i="12"/>
  <c r="C19" i="12"/>
  <c r="D19" i="12"/>
  <c r="C20" i="12"/>
  <c r="D20" i="12"/>
  <c r="C21" i="12"/>
  <c r="D21" i="12"/>
  <c r="C22" i="12"/>
  <c r="D22" i="12"/>
  <c r="D17" i="12"/>
  <c r="C17" i="12"/>
  <c r="C11" i="12"/>
  <c r="D11" i="12"/>
  <c r="C12" i="12"/>
  <c r="D12" i="12"/>
  <c r="C13" i="12"/>
  <c r="D13" i="12"/>
  <c r="C14" i="12"/>
  <c r="D14" i="12"/>
  <c r="C15" i="12"/>
  <c r="D15" i="12"/>
  <c r="D10" i="12"/>
  <c r="C10" i="12"/>
  <c r="D4" i="12"/>
  <c r="D5" i="12"/>
  <c r="D6" i="12"/>
  <c r="D7" i="12"/>
  <c r="D8" i="12"/>
  <c r="D3" i="12"/>
  <c r="C4" i="12"/>
  <c r="C5" i="12"/>
  <c r="C6" i="12"/>
  <c r="C7" i="12"/>
  <c r="C8" i="12"/>
  <c r="C3" i="12"/>
  <c r="A18" i="12"/>
  <c r="B18" i="12"/>
  <c r="A19" i="12"/>
  <c r="B19" i="12"/>
  <c r="A20" i="12"/>
  <c r="B20" i="12"/>
  <c r="A21" i="12"/>
  <c r="B21" i="12"/>
  <c r="A22" i="12"/>
  <c r="B22" i="12"/>
  <c r="B17" i="12"/>
  <c r="A17" i="12"/>
  <c r="A11" i="12"/>
  <c r="B11" i="12"/>
  <c r="A12" i="12"/>
  <c r="B12" i="12"/>
  <c r="A13" i="12"/>
  <c r="B13" i="12"/>
  <c r="A14" i="12"/>
  <c r="B14" i="12"/>
  <c r="A15" i="12"/>
  <c r="B15" i="12"/>
  <c r="B10" i="12"/>
  <c r="A10" i="12"/>
  <c r="A4" i="12"/>
  <c r="B4" i="12"/>
  <c r="A5" i="12"/>
  <c r="B5" i="12"/>
  <c r="A6" i="12"/>
  <c r="B6" i="12"/>
  <c r="A7" i="12"/>
  <c r="B7" i="12"/>
  <c r="A8" i="12"/>
  <c r="B8" i="12"/>
  <c r="B3" i="12"/>
  <c r="A3" i="12"/>
  <c r="D18" i="11"/>
  <c r="D19" i="11"/>
  <c r="D20" i="11"/>
  <c r="D21" i="11"/>
  <c r="D22" i="11"/>
  <c r="E22" i="11" s="1"/>
  <c r="F22" i="11" s="1"/>
  <c r="D17" i="11"/>
  <c r="C18" i="11"/>
  <c r="C19" i="11"/>
  <c r="C20" i="11"/>
  <c r="C21" i="11"/>
  <c r="C22" i="11"/>
  <c r="C17" i="11"/>
  <c r="E17" i="11" s="1"/>
  <c r="F17" i="11" s="1"/>
  <c r="C11" i="11"/>
  <c r="E11" i="11" s="1"/>
  <c r="F11" i="11" s="1"/>
  <c r="D11" i="11"/>
  <c r="C12" i="11"/>
  <c r="D12" i="11"/>
  <c r="C13" i="11"/>
  <c r="D13" i="11"/>
  <c r="C14" i="11"/>
  <c r="D14" i="11"/>
  <c r="C15" i="11"/>
  <c r="D15" i="11"/>
  <c r="D10" i="11"/>
  <c r="C10" i="11"/>
  <c r="A18" i="11"/>
  <c r="B18" i="11"/>
  <c r="A19" i="11"/>
  <c r="B19" i="11"/>
  <c r="A20" i="11"/>
  <c r="B20" i="11"/>
  <c r="A21" i="11"/>
  <c r="B21" i="11"/>
  <c r="A22" i="11"/>
  <c r="B22" i="11"/>
  <c r="B17" i="11"/>
  <c r="A17" i="11"/>
  <c r="A11" i="11"/>
  <c r="B11" i="11"/>
  <c r="A12" i="11"/>
  <c r="B12" i="11"/>
  <c r="A13" i="11"/>
  <c r="B13" i="11"/>
  <c r="A14" i="11"/>
  <c r="B14" i="11"/>
  <c r="A15" i="11"/>
  <c r="B15" i="11"/>
  <c r="B10" i="11"/>
  <c r="A10" i="11"/>
  <c r="C4" i="11"/>
  <c r="D4" i="11"/>
  <c r="C5" i="11"/>
  <c r="D5" i="11"/>
  <c r="C6" i="11"/>
  <c r="D6" i="11"/>
  <c r="C7" i="11"/>
  <c r="D7" i="11"/>
  <c r="C8" i="11"/>
  <c r="D8" i="11"/>
  <c r="D3" i="11"/>
  <c r="C3" i="11"/>
  <c r="A4" i="11"/>
  <c r="B4" i="11"/>
  <c r="A5" i="11"/>
  <c r="B5" i="11"/>
  <c r="A6" i="11"/>
  <c r="B6" i="11"/>
  <c r="A7" i="11"/>
  <c r="B7" i="11"/>
  <c r="A8" i="11"/>
  <c r="B8" i="11"/>
  <c r="B3" i="11"/>
  <c r="A3" i="11"/>
  <c r="E18" i="11"/>
  <c r="F18" i="11" s="1"/>
  <c r="E19" i="11"/>
  <c r="F19" i="11" s="1"/>
  <c r="E20" i="11"/>
  <c r="F20" i="11" s="1"/>
  <c r="E21" i="11"/>
  <c r="F21" i="11" s="1"/>
  <c r="E12" i="11"/>
  <c r="F12" i="11" s="1"/>
  <c r="E13" i="11"/>
  <c r="F13" i="11" s="1"/>
  <c r="E14" i="11"/>
  <c r="F14" i="11" s="1"/>
  <c r="E15" i="11"/>
  <c r="F15" i="11" s="1"/>
  <c r="E10" i="11"/>
  <c r="F10" i="11" s="1"/>
  <c r="E4" i="11"/>
  <c r="F4" i="11" s="1"/>
  <c r="E5" i="11"/>
  <c r="F5" i="11" s="1"/>
  <c r="E6" i="11"/>
  <c r="F6" i="11" s="1"/>
  <c r="E7" i="11"/>
  <c r="F7" i="11" s="1"/>
  <c r="E8" i="11"/>
  <c r="F8" i="11" s="1"/>
  <c r="G36" i="10"/>
  <c r="H36" i="10"/>
  <c r="G37" i="10"/>
  <c r="H37" i="10"/>
  <c r="H35" i="10"/>
  <c r="G35" i="10"/>
  <c r="J36" i="10"/>
  <c r="J37" i="10"/>
  <c r="J35" i="10"/>
  <c r="I36" i="10"/>
  <c r="I37" i="10"/>
  <c r="I35" i="10"/>
  <c r="F36" i="10"/>
  <c r="F37" i="10"/>
  <c r="F35" i="10"/>
  <c r="D36" i="10"/>
  <c r="E36" i="10"/>
  <c r="D37" i="10"/>
  <c r="E37" i="10"/>
  <c r="E35" i="10"/>
  <c r="D35" i="10"/>
  <c r="B36" i="10"/>
  <c r="C36" i="10"/>
  <c r="B37" i="10"/>
  <c r="C37" i="10"/>
  <c r="C35" i="10"/>
  <c r="B35" i="10"/>
  <c r="G22" i="10"/>
  <c r="H22" i="10"/>
  <c r="G23" i="10"/>
  <c r="H23" i="10"/>
  <c r="H21" i="10"/>
  <c r="G21" i="10"/>
  <c r="J22" i="10"/>
  <c r="J23" i="10"/>
  <c r="J21" i="10"/>
  <c r="I22" i="10"/>
  <c r="I23" i="10"/>
  <c r="I21" i="10"/>
  <c r="F22" i="10"/>
  <c r="F23" i="10"/>
  <c r="F21" i="10"/>
  <c r="D22" i="10"/>
  <c r="E22" i="10"/>
  <c r="D23" i="10"/>
  <c r="E23" i="10"/>
  <c r="E21" i="10"/>
  <c r="D21" i="10"/>
  <c r="B22" i="10"/>
  <c r="C22" i="10"/>
  <c r="B23" i="10"/>
  <c r="C23" i="10"/>
  <c r="C21" i="10"/>
  <c r="B21" i="10"/>
  <c r="G8" i="10"/>
  <c r="H8" i="10"/>
  <c r="G9" i="10"/>
  <c r="H9" i="10"/>
  <c r="H7" i="10"/>
  <c r="G7" i="10"/>
  <c r="J8" i="10"/>
  <c r="J9" i="10"/>
  <c r="J7" i="10"/>
  <c r="I8" i="10"/>
  <c r="I9" i="10"/>
  <c r="I7" i="10"/>
  <c r="F8" i="10"/>
  <c r="F9" i="10"/>
  <c r="F7" i="10"/>
  <c r="D8" i="10"/>
  <c r="E8" i="10"/>
  <c r="D9" i="10"/>
  <c r="E9" i="10"/>
  <c r="E7" i="10"/>
  <c r="D7" i="10"/>
  <c r="B8" i="10"/>
  <c r="C8" i="10"/>
  <c r="B9" i="10"/>
  <c r="C9" i="10"/>
  <c r="C7" i="10"/>
  <c r="B7" i="10"/>
  <c r="G8" i="9"/>
  <c r="H8" i="9"/>
  <c r="G9" i="9"/>
  <c r="H9" i="9"/>
  <c r="G10" i="9"/>
  <c r="H10" i="9"/>
  <c r="G11" i="9"/>
  <c r="H11" i="9"/>
  <c r="G12" i="9"/>
  <c r="H12" i="9"/>
  <c r="H7" i="9"/>
  <c r="G7" i="9"/>
  <c r="G25" i="9"/>
  <c r="H25" i="9"/>
  <c r="G26" i="9"/>
  <c r="H26" i="9"/>
  <c r="G27" i="9"/>
  <c r="H27" i="9"/>
  <c r="G28" i="9"/>
  <c r="H28" i="9"/>
  <c r="G29" i="9"/>
  <c r="H29" i="9"/>
  <c r="H24" i="9"/>
  <c r="G24" i="9"/>
  <c r="G42" i="9"/>
  <c r="H42" i="9"/>
  <c r="G43" i="9"/>
  <c r="H43" i="9"/>
  <c r="G44" i="9"/>
  <c r="H44" i="9"/>
  <c r="G45" i="9"/>
  <c r="H45" i="9"/>
  <c r="G46" i="9"/>
  <c r="H46" i="9"/>
  <c r="H41" i="9"/>
  <c r="G41" i="9"/>
  <c r="J42" i="9"/>
  <c r="J43" i="9"/>
  <c r="J44" i="9"/>
  <c r="J45" i="9"/>
  <c r="J46" i="9"/>
  <c r="J41" i="9"/>
  <c r="I42" i="9"/>
  <c r="I43" i="9"/>
  <c r="I44" i="9"/>
  <c r="I45" i="9"/>
  <c r="I46" i="9"/>
  <c r="I41" i="9"/>
  <c r="F42" i="9"/>
  <c r="F43" i="9"/>
  <c r="F44" i="9"/>
  <c r="F45" i="9"/>
  <c r="F46" i="9"/>
  <c r="F41" i="9"/>
  <c r="D42" i="9"/>
  <c r="E42" i="9"/>
  <c r="D43" i="9"/>
  <c r="E43" i="9"/>
  <c r="D44" i="9"/>
  <c r="E44" i="9"/>
  <c r="D45" i="9"/>
  <c r="E45" i="9"/>
  <c r="D46" i="9"/>
  <c r="E46" i="9"/>
  <c r="E41" i="9"/>
  <c r="D41" i="9"/>
  <c r="C41" i="9"/>
  <c r="C42" i="9"/>
  <c r="C43" i="9"/>
  <c r="C44" i="9"/>
  <c r="C45" i="9"/>
  <c r="C46" i="9"/>
  <c r="B42" i="9"/>
  <c r="B43" i="9"/>
  <c r="B44" i="9"/>
  <c r="B45" i="9"/>
  <c r="B46" i="9"/>
  <c r="B41" i="9"/>
  <c r="J25" i="9"/>
  <c r="J26" i="9"/>
  <c r="J27" i="9"/>
  <c r="J28" i="9"/>
  <c r="J29" i="9"/>
  <c r="J24" i="9"/>
  <c r="I25" i="9"/>
  <c r="I26" i="9"/>
  <c r="I27" i="9"/>
  <c r="I28" i="9"/>
  <c r="I29" i="9"/>
  <c r="I24" i="9"/>
  <c r="F25" i="9"/>
  <c r="F26" i="9"/>
  <c r="F27" i="9"/>
  <c r="F28" i="9"/>
  <c r="F29" i="9"/>
  <c r="F24" i="9"/>
  <c r="D25" i="9"/>
  <c r="E25" i="9"/>
  <c r="D26" i="9"/>
  <c r="E26" i="9"/>
  <c r="D27" i="9"/>
  <c r="E27" i="9"/>
  <c r="D28" i="9"/>
  <c r="E28" i="9"/>
  <c r="D29" i="9"/>
  <c r="E29" i="9"/>
  <c r="E24" i="9"/>
  <c r="D24" i="9"/>
  <c r="B25" i="9"/>
  <c r="C25" i="9"/>
  <c r="B26" i="9"/>
  <c r="C26" i="9"/>
  <c r="B27" i="9"/>
  <c r="C27" i="9"/>
  <c r="B28" i="9"/>
  <c r="C28" i="9"/>
  <c r="B29" i="9"/>
  <c r="C29" i="9"/>
  <c r="C24" i="9"/>
  <c r="B24" i="9"/>
  <c r="J8" i="9"/>
  <c r="J9" i="9"/>
  <c r="J10" i="9"/>
  <c r="J11" i="9"/>
  <c r="J12" i="9"/>
  <c r="J7" i="9"/>
  <c r="I8" i="9"/>
  <c r="I9" i="9"/>
  <c r="I10" i="9"/>
  <c r="I11" i="9"/>
  <c r="I12" i="9"/>
  <c r="I7" i="9"/>
  <c r="F8" i="9"/>
  <c r="F9" i="9"/>
  <c r="F10" i="9"/>
  <c r="F11" i="9"/>
  <c r="F12" i="9"/>
  <c r="F7" i="9"/>
  <c r="E7" i="9"/>
  <c r="E8" i="9"/>
  <c r="E9" i="9"/>
  <c r="E10" i="9"/>
  <c r="E11" i="9"/>
  <c r="E12" i="9"/>
  <c r="D8" i="9"/>
  <c r="D9" i="9"/>
  <c r="D10" i="9"/>
  <c r="D11" i="9"/>
  <c r="D12" i="9"/>
  <c r="D7" i="9"/>
  <c r="B8" i="9"/>
  <c r="C8" i="9"/>
  <c r="B9" i="9"/>
  <c r="C9" i="9"/>
  <c r="B10" i="9"/>
  <c r="C10" i="9"/>
  <c r="B11" i="9"/>
  <c r="C11" i="9"/>
  <c r="B12" i="9"/>
  <c r="C12" i="9"/>
  <c r="C7" i="9"/>
  <c r="B7" i="9"/>
  <c r="E3" i="11" l="1"/>
  <c r="F3" i="11" s="1"/>
</calcChain>
</file>

<file path=xl/sharedStrings.xml><?xml version="1.0" encoding="utf-8"?>
<sst xmlns="http://schemas.openxmlformats.org/spreadsheetml/2006/main" count="409" uniqueCount="156">
  <si>
    <t>Nokta 
Sayısı</t>
  </si>
  <si>
    <t>Ölçüm Bitiş</t>
  </si>
  <si>
    <t>LC MAX</t>
  </si>
  <si>
    <t>LAFmaxtt</t>
  </si>
  <si>
    <t>LASmaxtt</t>
  </si>
  <si>
    <t>LAImaxtt</t>
  </si>
  <si>
    <t>LAItt</t>
  </si>
  <si>
    <t>LAtt</t>
  </si>
  <si>
    <t>LCtt</t>
  </si>
  <si>
    <t>LZtt</t>
  </si>
  <si>
    <t>Data No</t>
  </si>
  <si>
    <t>Ölçüm Noktası</t>
  </si>
  <si>
    <t>Ölçüm  Başlangıç</t>
  </si>
  <si>
    <t>Ölçüm Başlangıç</t>
  </si>
  <si>
    <t>GÜRÜLTÜ ÖLÇÜM SONUÇLARI</t>
  </si>
  <si>
    <t>Ölçüm Sonuçları, dB</t>
  </si>
  <si>
    <t>A-Ağırlıklama</t>
  </si>
  <si>
    <t>C- Ağırlıklama</t>
  </si>
  <si>
    <t>Ölçüm Anı</t>
  </si>
  <si>
    <t>Nokta No.</t>
  </si>
  <si>
    <t>Ölçüm Noktası Konumu</t>
  </si>
  <si>
    <t>Başlama</t>
  </si>
  <si>
    <t>Bitiş</t>
  </si>
  <si>
    <t>Leq</t>
  </si>
  <si>
    <t>L10</t>
  </si>
  <si>
    <t>L95</t>
  </si>
  <si>
    <t>lc max</t>
  </si>
  <si>
    <t>Kaynak Çalışırken (Gündüz)</t>
  </si>
  <si>
    <t>Kaynak Çalışırken (Akşam)</t>
  </si>
  <si>
    <t>Kaynak Çalışırken (Gece)</t>
  </si>
  <si>
    <t>Kaynak Çalışmazken (Gündüz)</t>
  </si>
  <si>
    <t>Kaynak Çalışmazken (Akşam)</t>
  </si>
  <si>
    <t>Kaynak Çalışmazken (Gece)</t>
  </si>
  <si>
    <t>İşletme Faaliyette İken (Müzik Yokken)</t>
  </si>
  <si>
    <t>İşletme Faaliyette İken (Müzik Varken)</t>
  </si>
  <si>
    <t>LAFmax (dB)</t>
  </si>
  <si>
    <t>LAImax (dB)</t>
  </si>
  <si>
    <t>Fark, dB</t>
  </si>
  <si>
    <t>KI, dB</t>
  </si>
  <si>
    <t>Gündüz Zaman Dilimi</t>
  </si>
  <si>
    <t>Akşam Zaman Dilimi</t>
  </si>
  <si>
    <t>Gece Zaman Dilimi</t>
  </si>
  <si>
    <t>Leq (dBA)</t>
  </si>
  <si>
    <t>Leq (dBC)</t>
  </si>
  <si>
    <t>dBC – dBA</t>
  </si>
  <si>
    <t>Ks, dB</t>
  </si>
  <si>
    <t>Arka Plan Leq (dBA)</t>
  </si>
  <si>
    <t>Aritmetik Fark</t>
  </si>
  <si>
    <t>Saf Kaynak</t>
  </si>
  <si>
    <t xml:space="preserve">Ln+s
</t>
  </si>
  <si>
    <t>Ln</t>
  </si>
  <si>
    <t xml:space="preserve"> (Ls)</t>
  </si>
  <si>
    <t>Eklenecek Değerler</t>
  </si>
  <si>
    <t>Lr</t>
  </si>
  <si>
    <r>
      <t>K</t>
    </r>
    <r>
      <rPr>
        <b/>
        <sz val="5"/>
        <color rgb="FF000000"/>
        <rFont val="Verdana"/>
        <family val="2"/>
        <charset val="162"/>
      </rPr>
      <t>I</t>
    </r>
    <r>
      <rPr>
        <b/>
        <sz val="8"/>
        <color rgb="FF000000"/>
        <rFont val="Verdana"/>
        <family val="2"/>
        <charset val="162"/>
      </rPr>
      <t>, dBA</t>
    </r>
  </si>
  <si>
    <r>
      <t>K</t>
    </r>
    <r>
      <rPr>
        <b/>
        <sz val="5"/>
        <color rgb="FF000000"/>
        <rFont val="Verdana"/>
        <family val="2"/>
        <charset val="162"/>
      </rPr>
      <t>T</t>
    </r>
    <r>
      <rPr>
        <b/>
        <sz val="8"/>
        <color rgb="FF000000"/>
        <rFont val="Verdana"/>
        <family val="2"/>
        <charset val="162"/>
      </rPr>
      <t>, dBA</t>
    </r>
  </si>
  <si>
    <r>
      <t>K</t>
    </r>
    <r>
      <rPr>
        <b/>
        <sz val="5"/>
        <color rgb="FF000000"/>
        <rFont val="Verdana"/>
        <family val="2"/>
        <charset val="162"/>
      </rPr>
      <t>S</t>
    </r>
    <r>
      <rPr>
        <b/>
        <sz val="8"/>
        <color rgb="FF000000"/>
        <rFont val="Verdana"/>
        <family val="2"/>
        <charset val="162"/>
      </rPr>
      <t>, dBA</t>
    </r>
  </si>
  <si>
    <t>Ln+s</t>
  </si>
  <si>
    <t>Ls</t>
  </si>
  <si>
    <t>Ls-Ln (db A)</t>
  </si>
  <si>
    <t>Bina İşlevi</t>
  </si>
  <si>
    <t>Ölçüm Mekanı</t>
  </si>
  <si>
    <t>Akustik Performans Sınıfı</t>
  </si>
  <si>
    <t>Ls (dB A)</t>
  </si>
  <si>
    <t>BGKKHY Ek 4 Tablo 4.1 Sınır Değeri</t>
  </si>
  <si>
    <t>Ölçüm No</t>
  </si>
  <si>
    <t>İşletme Çalışırken,</t>
  </si>
  <si>
    <t>ÇGKY EK-2 Tablo 1 Sınır Değer, dBC</t>
  </si>
  <si>
    <t>Gündüz</t>
  </si>
  <si>
    <t>Ölçüm
 No</t>
  </si>
  <si>
    <t>Akşam</t>
  </si>
  <si>
    <t>Gece</t>
  </si>
  <si>
    <t>ÇGKY EK-2 / Tablo 1 Sınır Değeri dB A</t>
  </si>
  <si>
    <t>63 – 250 Hz Frekans Aralığının 1/3 Oktav Bandı Sonuçları, LAeq (dBA)</t>
  </si>
  <si>
    <t>63 Hz</t>
  </si>
  <si>
    <t>80 Hz</t>
  </si>
  <si>
    <t>100 Hz</t>
  </si>
  <si>
    <t>125 Hz</t>
  </si>
  <si>
    <t>160 Hz</t>
  </si>
  <si>
    <t>200 Hz</t>
  </si>
  <si>
    <t>250 Hz</t>
  </si>
  <si>
    <t>Sınır Değer, dBA</t>
  </si>
  <si>
    <t>İşletme İçi 1. Ölçüm Noktası</t>
  </si>
  <si>
    <t>17:16:15</t>
  </si>
  <si>
    <t>17:21:49</t>
  </si>
  <si>
    <t>İşletme İçi 2. Ölçüm Noktası</t>
  </si>
  <si>
    <t>17:22:15</t>
  </si>
  <si>
    <t>17:27:15</t>
  </si>
  <si>
    <t>İşletme İçi 3. Ölçüm Noktası</t>
  </si>
  <si>
    <t>17:28:02</t>
  </si>
  <si>
    <t>17:33:26</t>
  </si>
  <si>
    <t>Çevre Ölçüm Noktası 1</t>
  </si>
  <si>
    <t>17:58:40</t>
  </si>
  <si>
    <t>18:03:40</t>
  </si>
  <si>
    <t>Çevre Ölçüm Noktası 2</t>
  </si>
  <si>
    <t>17:34:04</t>
  </si>
  <si>
    <t>17:39:04</t>
  </si>
  <si>
    <t>Çevre Ölçüm Noktası 3</t>
  </si>
  <si>
    <t>17:46:26</t>
  </si>
  <si>
    <t>17:51:37</t>
  </si>
  <si>
    <t>Çevre Ölçüm Noktası 1 [ARKA PLAN]</t>
  </si>
  <si>
    <t>17:53:07</t>
  </si>
  <si>
    <t>17:58:07</t>
  </si>
  <si>
    <t>Çevre Ölçüm Noktası 2 [ARKA PLAN]</t>
  </si>
  <si>
    <t>17:39:16</t>
  </si>
  <si>
    <t>17:44:16</t>
  </si>
  <si>
    <t>Çevre Ölçüm Noktası 3 [ARKA PLAN]</t>
  </si>
  <si>
    <t>19:12:39</t>
  </si>
  <si>
    <t>19:17:39</t>
  </si>
  <si>
    <t>18:10:56</t>
  </si>
  <si>
    <t>18:15:56</t>
  </si>
  <si>
    <t>18:25:02</t>
  </si>
  <si>
    <t>18:30:47</t>
  </si>
  <si>
    <t>19:46:56</t>
  </si>
  <si>
    <t>19:52:23</t>
  </si>
  <si>
    <t>18:31:04</t>
  </si>
  <si>
    <t>18:36:04</t>
  </si>
  <si>
    <t>19:52:45</t>
  </si>
  <si>
    <t>19:57:58</t>
  </si>
  <si>
    <t>19:18:35</t>
  </si>
  <si>
    <t>19:23:35</t>
  </si>
  <si>
    <t>19:23:56</t>
  </si>
  <si>
    <t>19:29:07</t>
  </si>
  <si>
    <t>23:04:28</t>
  </si>
  <si>
    <t>23:09:40</t>
  </si>
  <si>
    <t>19:41:14</t>
  </si>
  <si>
    <t>19:46:14</t>
  </si>
  <si>
    <t>23:49:30</t>
  </si>
  <si>
    <t>23:55:13</t>
  </si>
  <si>
    <t>20:07:16</t>
  </si>
  <si>
    <t>20:12:16</t>
  </si>
  <si>
    <t>23:44:07</t>
  </si>
  <si>
    <t>23:49:19</t>
  </si>
  <si>
    <t>20:00:26</t>
  </si>
  <si>
    <t>20:07:00</t>
  </si>
  <si>
    <t>20:14:28</t>
  </si>
  <si>
    <t>20:19:28</t>
  </si>
  <si>
    <t>L 95</t>
  </si>
  <si>
    <t>No</t>
  </si>
  <si>
    <t>Bulunduğu Yer</t>
  </si>
  <si>
    <t>Cinsi</t>
  </si>
  <si>
    <t>Markası</t>
  </si>
  <si>
    <t>Modeli</t>
  </si>
  <si>
    <t>Ses Gücü</t>
  </si>
  <si>
    <t>Adedi</t>
  </si>
  <si>
    <t>Diğer</t>
  </si>
  <si>
    <t>Ölçüm Yeri Tanımı</t>
  </si>
  <si>
    <t>Sıcaklık, °C</t>
  </si>
  <si>
    <t>Nem, %</t>
  </si>
  <si>
    <t>Rüzgar Hızı,</t>
  </si>
  <si>
    <t>Rüzgar Yönü</t>
  </si>
  <si>
    <t>Hava Durumu</t>
  </si>
  <si>
    <t>m/sn</t>
  </si>
  <si>
    <t>Gündüz Ölçümü</t>
  </si>
  <si>
    <t>Akşam Ölçümü</t>
  </si>
  <si>
    <t>Gece Ölçümü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</si>
</sst>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000000"/>
      <name val="Verdana"/>
      <family val="2"/>
      <charset val="162"/>
    </font>
    <font>
      <b/>
      <sz val="8"/>
      <color theme="1"/>
      <name val="Verdana"/>
      <family val="2"/>
      <charset val="162"/>
    </font>
    <font>
      <b/>
      <sz val="5"/>
      <color rgb="FF000000"/>
      <name val="Verdana"/>
      <family val="2"/>
      <charset val="162"/>
    </font>
    <font>
      <b/>
      <sz val="9"/>
      <color theme="1"/>
      <name val="Verdana"/>
      <family val="2"/>
      <charset val="162"/>
    </font>
    <font>
      <b/>
      <sz val="10"/>
      <color rgb="FF000000"/>
      <name val="Verdana"/>
      <family val="2"/>
      <charset val="162"/>
    </font>
    <font>
      <b/>
      <sz val="10"/>
      <color theme="1"/>
      <name val="Verdana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1DC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</fills>
  <borders count="7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13">
    <xf numFmtId="0" fontId="0" fillId="0" borderId="0" xfId="0"/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wrapText="1"/>
    </xf>
    <xf numFmtId="0" fontId="3" fillId="0" borderId="0" xfId="1" applyFont="1"/>
    <xf numFmtId="0" fontId="4" fillId="2" borderId="21" xfId="0" applyFont="1" applyFill="1" applyBorder="1" applyAlignment="1">
      <alignment horizontal="center" vertical="center" wrapText="1"/>
    </xf>
    <xf numFmtId="0" fontId="0" fillId="0" borderId="11" xfId="0" applyBorder="1"/>
    <xf numFmtId="0" fontId="4" fillId="3" borderId="2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3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44" xfId="0" applyBorder="1"/>
    <xf numFmtId="0" fontId="0" fillId="0" borderId="45" xfId="0" applyBorder="1"/>
    <xf numFmtId="0" fontId="4" fillId="2" borderId="47" xfId="0" applyFont="1" applyFill="1" applyBorder="1" applyAlignment="1">
      <alignment horizontal="center" vertical="center" wrapText="1"/>
    </xf>
    <xf numFmtId="0" fontId="4" fillId="2" borderId="48" xfId="0" applyFont="1" applyFill="1" applyBorder="1" applyAlignment="1">
      <alignment horizontal="center" vertical="center" wrapText="1"/>
    </xf>
    <xf numFmtId="0" fontId="4" fillId="2" borderId="49" xfId="0" applyFont="1" applyFill="1" applyBorder="1" applyAlignment="1">
      <alignment horizontal="center" vertical="center" wrapText="1"/>
    </xf>
    <xf numFmtId="0" fontId="4" fillId="2" borderId="5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46" xfId="0" applyBorder="1"/>
    <xf numFmtId="0" fontId="4" fillId="3" borderId="47" xfId="0" applyFont="1" applyFill="1" applyBorder="1" applyAlignment="1">
      <alignment horizontal="center" vertical="center" wrapText="1"/>
    </xf>
    <xf numFmtId="0" fontId="4" fillId="3" borderId="48" xfId="0" applyFont="1" applyFill="1" applyBorder="1" applyAlignment="1">
      <alignment horizontal="center" vertical="center" wrapText="1"/>
    </xf>
    <xf numFmtId="0" fontId="4" fillId="3" borderId="49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2" borderId="54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56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53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4" fillId="2" borderId="59" xfId="0" applyFont="1" applyFill="1" applyBorder="1" applyAlignment="1">
      <alignment horizontal="center" vertical="center" wrapText="1"/>
    </xf>
    <xf numFmtId="0" fontId="4" fillId="2" borderId="61" xfId="0" applyFont="1" applyFill="1" applyBorder="1" applyAlignment="1">
      <alignment horizontal="center" vertical="center" wrapText="1"/>
    </xf>
    <xf numFmtId="0" fontId="4" fillId="2" borderId="59" xfId="0" applyFont="1" applyFill="1" applyBorder="1" applyAlignment="1">
      <alignment horizontal="center" vertical="center" wrapText="1"/>
    </xf>
    <xf numFmtId="0" fontId="4" fillId="2" borderId="62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63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4" fillId="3" borderId="64" xfId="0" applyFont="1" applyFill="1" applyBorder="1" applyAlignment="1">
      <alignment horizontal="center" vertical="center" wrapText="1"/>
    </xf>
    <xf numFmtId="0" fontId="4" fillId="2" borderId="65" xfId="0" applyFont="1" applyFill="1" applyBorder="1" applyAlignment="1">
      <alignment horizontal="center" vertical="center" wrapText="1"/>
    </xf>
    <xf numFmtId="0" fontId="4" fillId="2" borderId="66" xfId="0" applyFont="1" applyFill="1" applyBorder="1" applyAlignment="1">
      <alignment horizontal="center" vertical="center" wrapText="1"/>
    </xf>
    <xf numFmtId="0" fontId="4" fillId="2" borderId="67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5" fillId="0" borderId="65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0" fontId="5" fillId="0" borderId="6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right" vertical="center" wrapText="1"/>
    </xf>
    <xf numFmtId="0" fontId="8" fillId="2" borderId="35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48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56" xfId="0" applyBorder="1"/>
    <xf numFmtId="0" fontId="7" fillId="5" borderId="47" xfId="0" applyFont="1" applyFill="1" applyBorder="1" applyAlignment="1">
      <alignment horizontal="center"/>
    </xf>
    <xf numFmtId="0" fontId="7" fillId="5" borderId="48" xfId="0" applyFont="1" applyFill="1" applyBorder="1" applyAlignment="1">
      <alignment horizontal="center"/>
    </xf>
    <xf numFmtId="0" fontId="7" fillId="5" borderId="49" xfId="0" applyFont="1" applyFill="1" applyBorder="1" applyAlignment="1">
      <alignment horizontal="center"/>
    </xf>
    <xf numFmtId="0" fontId="9" fillId="5" borderId="47" xfId="0" applyFont="1" applyFill="1" applyBorder="1" applyAlignment="1">
      <alignment horizontal="center"/>
    </xf>
    <xf numFmtId="0" fontId="9" fillId="5" borderId="48" xfId="0" applyFont="1" applyFill="1" applyBorder="1" applyAlignment="1">
      <alignment horizontal="center"/>
    </xf>
    <xf numFmtId="0" fontId="9" fillId="5" borderId="49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left" vertical="center" wrapText="1" indent="2"/>
    </xf>
    <xf numFmtId="0" fontId="4" fillId="2" borderId="7" xfId="0" applyFont="1" applyFill="1" applyBorder="1" applyAlignment="1">
      <alignment horizontal="left" vertical="center" wrapText="1" indent="3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 indent="2"/>
    </xf>
    <xf numFmtId="0" fontId="4" fillId="2" borderId="69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vertical="center" wrapText="1"/>
    </xf>
    <xf numFmtId="0" fontId="4" fillId="2" borderId="70" xfId="0" applyFont="1" applyFill="1" applyBorder="1" applyAlignment="1">
      <alignment vertical="center" wrapText="1"/>
    </xf>
    <xf numFmtId="0" fontId="4" fillId="2" borderId="71" xfId="0" applyFont="1" applyFill="1" applyBorder="1" applyAlignment="1">
      <alignment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0" fillId="0" borderId="42" xfId="0" applyBorder="1"/>
    <xf numFmtId="0" fontId="1" fillId="5" borderId="39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4" fillId="2" borderId="65" xfId="0" applyFont="1" applyFill="1" applyBorder="1" applyAlignment="1">
      <alignment horizontal="left" vertical="center" wrapText="1" indent="2"/>
    </xf>
    <xf numFmtId="0" fontId="4" fillId="2" borderId="67" xfId="0" applyFont="1" applyFill="1" applyBorder="1" applyAlignment="1">
      <alignment horizontal="left" vertical="center" wrapText="1" indent="2"/>
    </xf>
    <xf numFmtId="0" fontId="1" fillId="5" borderId="65" xfId="0" applyFont="1" applyFill="1" applyBorder="1" applyAlignment="1">
      <alignment horizontal="center" vertical="center"/>
    </xf>
    <xf numFmtId="0" fontId="1" fillId="5" borderId="6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 indent="3"/>
    </xf>
    <xf numFmtId="0" fontId="4" fillId="2" borderId="6" xfId="0" applyFont="1" applyFill="1" applyBorder="1" applyAlignment="1">
      <alignment horizontal="left" vertical="center" wrapText="1" indent="3"/>
    </xf>
    <xf numFmtId="0" fontId="4" fillId="2" borderId="5" xfId="0" applyFont="1" applyFill="1" applyBorder="1" applyAlignment="1">
      <alignment horizontal="left" vertical="center" wrapText="1" indent="3"/>
    </xf>
    <xf numFmtId="0" fontId="3" fillId="5" borderId="17" xfId="0" applyFont="1" applyFill="1" applyBorder="1" applyAlignment="1">
      <alignment horizontal="center" wrapText="1"/>
    </xf>
    <xf numFmtId="0" fontId="3" fillId="5" borderId="18" xfId="0" applyFont="1" applyFill="1" applyBorder="1" applyAlignment="1">
      <alignment horizontal="center"/>
    </xf>
    <xf numFmtId="0" fontId="3" fillId="5" borderId="49" xfId="0" applyFont="1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5" xfId="0" applyBorder="1" applyAlignment="1">
      <alignment horizont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0" fillId="0" borderId="51" xfId="0" applyBorder="1" applyAlignment="1">
      <alignment horizontal="center" vertical="center"/>
    </xf>
    <xf numFmtId="0" fontId="3" fillId="0" borderId="0" xfId="1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75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44" xfId="0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8" fillId="2" borderId="17" xfId="0" applyFont="1" applyFill="1" applyBorder="1" applyAlignment="1">
      <alignment horizontal="right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2" fillId="0" borderId="42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2" fillId="0" borderId="44" xfId="0" applyFont="1" applyBorder="1" applyAlignment="1">
      <alignment horizontal="center"/>
    </xf>
    <xf numFmtId="0" fontId="0" fillId="0" borderId="36" xfId="0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1" fillId="5" borderId="43" xfId="0" applyFont="1" applyFill="1" applyBorder="1" applyAlignment="1">
      <alignment horizontal="center"/>
    </xf>
    <xf numFmtId="0" fontId="1" fillId="5" borderId="41" xfId="0" applyFont="1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40" xfId="0" applyFill="1" applyBorder="1" applyAlignment="1">
      <alignment horizontal="center"/>
    </xf>
    <xf numFmtId="0" fontId="1" fillId="5" borderId="55" xfId="0" applyFont="1" applyFill="1" applyBorder="1" applyAlignment="1">
      <alignment horizontal="center"/>
    </xf>
    <xf numFmtId="0" fontId="1" fillId="5" borderId="72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40" xfId="0" applyFont="1" applyFill="1" applyBorder="1" applyAlignment="1">
      <alignment horizont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73" xfId="0" applyBorder="1" applyAlignment="1">
      <alignment horizontal="center"/>
    </xf>
    <xf numFmtId="0" fontId="4" fillId="4" borderId="43" xfId="0" applyFont="1" applyFill="1" applyBorder="1" applyAlignment="1">
      <alignment horizontal="center" vertical="center" wrapText="1"/>
    </xf>
    <xf numFmtId="0" fontId="4" fillId="4" borderId="72" xfId="0" applyFont="1" applyFill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 wrapText="1"/>
    </xf>
    <xf numFmtId="0" fontId="4" fillId="4" borderId="61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/>
    </xf>
    <xf numFmtId="0" fontId="4" fillId="4" borderId="54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0" fontId="4" fillId="2" borderId="72" xfId="0" applyFont="1" applyFill="1" applyBorder="1" applyAlignment="1">
      <alignment horizontal="center" vertical="center" wrapText="1"/>
    </xf>
    <xf numFmtId="0" fontId="3" fillId="5" borderId="72" xfId="0" applyFont="1" applyFill="1" applyBorder="1" applyAlignment="1">
      <alignment horizontal="center"/>
    </xf>
    <xf numFmtId="0" fontId="0" fillId="0" borderId="76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3" fillId="5" borderId="61" xfId="0" applyFont="1" applyFill="1" applyBorder="1" applyAlignment="1">
      <alignment horizontal="center"/>
    </xf>
    <xf numFmtId="0" fontId="3" fillId="5" borderId="31" xfId="0" applyFont="1" applyFill="1" applyBorder="1" applyAlignment="1">
      <alignment horizontal="center"/>
    </xf>
    <xf numFmtId="0" fontId="3" fillId="5" borderId="41" xfId="0" applyFont="1" applyFill="1" applyBorder="1" applyAlignment="1">
      <alignment horizontal="center"/>
    </xf>
    <xf numFmtId="0" fontId="3" fillId="5" borderId="21" xfId="0" applyFont="1" applyFill="1" applyBorder="1" applyAlignment="1">
      <alignment horizontal="center"/>
    </xf>
    <xf numFmtId="0" fontId="3" fillId="5" borderId="47" xfId="0" applyFont="1" applyFill="1" applyBorder="1"/>
    <xf numFmtId="0" fontId="1" fillId="5" borderId="48" xfId="0" applyFont="1" applyFill="1" applyBorder="1"/>
    <xf numFmtId="0" fontId="1" fillId="5" borderId="49" xfId="0" applyFont="1" applyFill="1" applyBorder="1"/>
    <xf numFmtId="0" fontId="4" fillId="2" borderId="17" xfId="0" applyFont="1" applyFill="1" applyBorder="1" applyAlignment="1">
      <alignment horizontal="left" vertical="center" wrapText="1" indent="2"/>
    </xf>
    <xf numFmtId="0" fontId="4" fillId="2" borderId="19" xfId="0" applyFont="1" applyFill="1" applyBorder="1" applyAlignment="1">
      <alignment horizontal="left" vertical="center" wrapText="1" indent="2"/>
    </xf>
    <xf numFmtId="0" fontId="4" fillId="2" borderId="17" xfId="0" applyFont="1" applyFill="1" applyBorder="1" applyAlignment="1">
      <alignment horizontal="left" vertical="center" wrapText="1" indent="1"/>
    </xf>
    <xf numFmtId="0" fontId="4" fillId="2" borderId="19" xfId="0" applyFont="1" applyFill="1" applyBorder="1" applyAlignment="1">
      <alignment horizontal="left" vertical="center" wrapText="1" indent="1"/>
    </xf>
  </cellXfs>
  <cellStyles count="2">
    <cellStyle name="Normal" xfId="0" builtinId="0"/>
    <cellStyle name="Normal 2" xfId="1" xr:uid="{63800F69-C228-4E22-AEEF-3A5A204806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0F7CF-31C2-45DB-80B3-37136ACB6433}">
  <sheetPr>
    <tabColor rgb="FFFFFF00"/>
  </sheetPr>
  <dimension ref="A1:V7"/>
  <sheetViews>
    <sheetView workbookViewId="0">
      <selection activeCell="D16" sqref="D16"/>
    </sheetView>
  </sheetViews>
  <sheetFormatPr defaultRowHeight="15" x14ac:dyDescent="0.25"/>
  <cols>
    <col min="1" max="1" width="6.28515625" bestFit="1" customWidth="1"/>
    <col min="2" max="2" width="22.7109375" customWidth="1"/>
    <col min="3" max="3" width="9.42578125" customWidth="1"/>
    <col min="4" max="4" width="19.140625" customWidth="1"/>
    <col min="5" max="5" width="11.140625" bestFit="1" customWidth="1"/>
  </cols>
  <sheetData>
    <row r="1" spans="1:22" ht="30" x14ac:dyDescent="0.25">
      <c r="A1" s="2" t="s">
        <v>0</v>
      </c>
      <c r="B1" s="3" t="s">
        <v>11</v>
      </c>
      <c r="C1" s="3" t="s">
        <v>10</v>
      </c>
      <c r="D1" s="3" t="s">
        <v>12</v>
      </c>
      <c r="E1" s="3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30" t="s">
        <v>24</v>
      </c>
      <c r="O1" s="130" t="s">
        <v>137</v>
      </c>
      <c r="P1" s="131" t="s">
        <v>74</v>
      </c>
      <c r="Q1" s="131" t="s">
        <v>75</v>
      </c>
      <c r="R1" s="131" t="s">
        <v>76</v>
      </c>
      <c r="S1" s="131" t="s">
        <v>77</v>
      </c>
      <c r="T1" s="131" t="s">
        <v>78</v>
      </c>
      <c r="U1" s="131" t="s">
        <v>79</v>
      </c>
      <c r="V1" s="131" t="s">
        <v>80</v>
      </c>
    </row>
    <row r="2" spans="1:22" x14ac:dyDescent="0.25">
      <c r="A2" s="123">
        <v>1</v>
      </c>
      <c r="B2" s="123" t="s">
        <v>82</v>
      </c>
      <c r="C2" s="123">
        <v>2</v>
      </c>
      <c r="D2" s="123" t="s">
        <v>83</v>
      </c>
      <c r="E2" s="123" t="s">
        <v>84</v>
      </c>
      <c r="F2" s="123">
        <v>84.7</v>
      </c>
      <c r="G2" s="123">
        <v>75.8</v>
      </c>
      <c r="H2" s="123">
        <v>72.7</v>
      </c>
      <c r="I2" s="123">
        <v>78</v>
      </c>
      <c r="J2" s="123">
        <v>68</v>
      </c>
      <c r="K2" s="123">
        <v>62.3</v>
      </c>
      <c r="L2" s="123">
        <v>68.400000000000006</v>
      </c>
      <c r="M2" s="123">
        <v>70.5</v>
      </c>
    </row>
    <row r="3" spans="1:22" x14ac:dyDescent="0.25">
      <c r="A3" s="123">
        <v>2</v>
      </c>
      <c r="B3" s="123" t="s">
        <v>85</v>
      </c>
      <c r="C3" s="123">
        <v>3</v>
      </c>
      <c r="D3" s="123" t="s">
        <v>86</v>
      </c>
      <c r="E3" s="123" t="s">
        <v>87</v>
      </c>
      <c r="F3" s="123">
        <v>87</v>
      </c>
      <c r="G3" s="123">
        <v>73</v>
      </c>
      <c r="H3" s="123">
        <v>68</v>
      </c>
      <c r="I3" s="123">
        <v>75.8</v>
      </c>
      <c r="J3" s="123">
        <v>64.400000000000006</v>
      </c>
      <c r="K3" s="123">
        <v>59.2</v>
      </c>
      <c r="L3" s="123">
        <v>66.8</v>
      </c>
      <c r="M3" s="123">
        <v>70</v>
      </c>
    </row>
    <row r="4" spans="1:22" x14ac:dyDescent="0.25">
      <c r="A4" s="123">
        <v>3</v>
      </c>
      <c r="B4" s="123" t="s">
        <v>88</v>
      </c>
      <c r="C4" s="123">
        <v>4</v>
      </c>
      <c r="D4" s="123" t="s">
        <v>89</v>
      </c>
      <c r="E4" s="123" t="s">
        <v>90</v>
      </c>
      <c r="F4" s="123">
        <v>81.2</v>
      </c>
      <c r="G4" s="123">
        <v>78.599999999999994</v>
      </c>
      <c r="H4" s="123">
        <v>74.2</v>
      </c>
      <c r="I4" s="123">
        <v>81.900000000000006</v>
      </c>
      <c r="J4" s="123">
        <v>70.599999999999994</v>
      </c>
      <c r="K4" s="123">
        <v>63.9</v>
      </c>
      <c r="L4" s="123">
        <v>68.3</v>
      </c>
      <c r="M4" s="123">
        <v>70.400000000000006</v>
      </c>
    </row>
    <row r="5" spans="1:22" x14ac:dyDescent="0.25">
      <c r="A5" s="123">
        <v>4</v>
      </c>
      <c r="B5" s="123" t="s">
        <v>91</v>
      </c>
      <c r="C5" s="123">
        <v>5</v>
      </c>
      <c r="D5" s="123" t="s">
        <v>92</v>
      </c>
      <c r="E5" s="123" t="s">
        <v>93</v>
      </c>
      <c r="F5" s="123">
        <v>76.3</v>
      </c>
      <c r="G5" s="123">
        <v>72.7</v>
      </c>
      <c r="H5" s="123">
        <v>69.5</v>
      </c>
      <c r="I5" s="123">
        <v>74.099999999999994</v>
      </c>
      <c r="J5" s="123">
        <v>62</v>
      </c>
      <c r="K5" s="123">
        <v>57.9</v>
      </c>
      <c r="L5" s="123">
        <v>63.9</v>
      </c>
      <c r="M5" s="123">
        <v>68.8</v>
      </c>
    </row>
    <row r="6" spans="1:22" x14ac:dyDescent="0.25">
      <c r="A6" s="123">
        <v>5</v>
      </c>
      <c r="B6" s="123" t="s">
        <v>94</v>
      </c>
      <c r="C6" s="123">
        <v>7</v>
      </c>
      <c r="D6" s="123" t="s">
        <v>95</v>
      </c>
      <c r="E6" s="123" t="s">
        <v>96</v>
      </c>
      <c r="F6" s="123">
        <v>80.400000000000006</v>
      </c>
      <c r="G6" s="123">
        <v>81.7</v>
      </c>
      <c r="H6" s="123">
        <v>74.099999999999994</v>
      </c>
      <c r="I6" s="123">
        <v>85.8</v>
      </c>
      <c r="J6" s="123">
        <v>67.900000000000006</v>
      </c>
      <c r="K6" s="123">
        <v>62</v>
      </c>
      <c r="L6" s="123">
        <v>67.099999999999994</v>
      </c>
      <c r="M6" s="123">
        <v>69</v>
      </c>
    </row>
    <row r="7" spans="1:22" x14ac:dyDescent="0.25">
      <c r="A7" s="123">
        <v>6</v>
      </c>
      <c r="B7" s="123" t="s">
        <v>97</v>
      </c>
      <c r="C7" s="123">
        <v>9</v>
      </c>
      <c r="D7" s="123" t="s">
        <v>98</v>
      </c>
      <c r="E7" s="123" t="s">
        <v>99</v>
      </c>
      <c r="F7" s="123">
        <v>82.9</v>
      </c>
      <c r="G7" s="123">
        <v>76.900000000000006</v>
      </c>
      <c r="H7" s="123">
        <v>69.7</v>
      </c>
      <c r="I7" s="123">
        <v>80.8</v>
      </c>
      <c r="J7" s="123">
        <v>63.9</v>
      </c>
      <c r="K7" s="123">
        <v>59.3</v>
      </c>
      <c r="L7" s="123">
        <v>65.900000000000006</v>
      </c>
      <c r="M7" s="123">
        <v>68.2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48D3D-6F86-42DE-8284-AF9ED94287C7}">
  <sheetPr>
    <tabColor rgb="FFFFFF00"/>
  </sheetPr>
  <dimension ref="A1:V4"/>
  <sheetViews>
    <sheetView workbookViewId="0">
      <selection activeCell="N1" sqref="N1:V1"/>
    </sheetView>
  </sheetViews>
  <sheetFormatPr defaultRowHeight="15" x14ac:dyDescent="0.25"/>
  <cols>
    <col min="2" max="2" width="14.28515625" bestFit="1" customWidth="1"/>
    <col min="4" max="4" width="16.28515625" bestFit="1" customWidth="1"/>
    <col min="5" max="5" width="11.28515625" bestFit="1" customWidth="1"/>
  </cols>
  <sheetData>
    <row r="1" spans="1:22" ht="30" x14ac:dyDescent="0.25">
      <c r="A1" s="2" t="s">
        <v>0</v>
      </c>
      <c r="B1" s="3" t="s">
        <v>11</v>
      </c>
      <c r="C1" s="3" t="s">
        <v>10</v>
      </c>
      <c r="D1" s="3" t="s">
        <v>12</v>
      </c>
      <c r="E1" s="3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30" t="s">
        <v>24</v>
      </c>
      <c r="O1" s="130" t="s">
        <v>137</v>
      </c>
      <c r="P1" s="131" t="s">
        <v>74</v>
      </c>
      <c r="Q1" s="131" t="s">
        <v>75</v>
      </c>
      <c r="R1" s="131" t="s">
        <v>76</v>
      </c>
      <c r="S1" s="131" t="s">
        <v>77</v>
      </c>
      <c r="T1" s="131" t="s">
        <v>78</v>
      </c>
      <c r="U1" s="131" t="s">
        <v>79</v>
      </c>
      <c r="V1" s="131" t="s">
        <v>80</v>
      </c>
    </row>
    <row r="2" spans="1:22" x14ac:dyDescent="0.25">
      <c r="A2" s="124">
        <v>4</v>
      </c>
      <c r="B2" s="124" t="s">
        <v>100</v>
      </c>
      <c r="C2" s="124">
        <v>6</v>
      </c>
      <c r="D2" s="124" t="s">
        <v>101</v>
      </c>
      <c r="E2" s="124" t="s">
        <v>102</v>
      </c>
      <c r="F2" s="124">
        <v>73.8</v>
      </c>
      <c r="G2" s="124">
        <v>69.900000000000006</v>
      </c>
      <c r="H2" s="124">
        <v>67</v>
      </c>
      <c r="I2" s="124">
        <v>73</v>
      </c>
      <c r="J2" s="124">
        <v>60.8</v>
      </c>
      <c r="K2" s="124">
        <v>57.2</v>
      </c>
      <c r="L2" s="124">
        <v>64.3</v>
      </c>
      <c r="M2" s="124">
        <v>66.7</v>
      </c>
    </row>
    <row r="3" spans="1:22" x14ac:dyDescent="0.25">
      <c r="A3" s="124">
        <v>5</v>
      </c>
      <c r="B3" s="124" t="s">
        <v>103</v>
      </c>
      <c r="C3" s="124">
        <v>8</v>
      </c>
      <c r="D3" s="124" t="s">
        <v>104</v>
      </c>
      <c r="E3" s="124" t="s">
        <v>105</v>
      </c>
      <c r="F3" s="124">
        <v>78.2</v>
      </c>
      <c r="G3" s="124">
        <v>76</v>
      </c>
      <c r="H3" s="124">
        <v>70.400000000000006</v>
      </c>
      <c r="I3" s="124">
        <v>79.099999999999994</v>
      </c>
      <c r="J3" s="124">
        <v>68.099999999999994</v>
      </c>
      <c r="K3" s="124">
        <v>62.4</v>
      </c>
      <c r="L3" s="124">
        <v>67.5</v>
      </c>
      <c r="M3" s="124">
        <v>69.400000000000006</v>
      </c>
    </row>
    <row r="4" spans="1:22" x14ac:dyDescent="0.25">
      <c r="A4" s="124">
        <v>6</v>
      </c>
      <c r="B4" s="124" t="s">
        <v>106</v>
      </c>
      <c r="C4" s="124">
        <v>10</v>
      </c>
      <c r="D4" s="124" t="s">
        <v>101</v>
      </c>
      <c r="E4" s="124" t="s">
        <v>102</v>
      </c>
      <c r="F4" s="124">
        <v>73.8</v>
      </c>
      <c r="G4" s="124">
        <v>69.900000000000006</v>
      </c>
      <c r="H4" s="124">
        <v>67</v>
      </c>
      <c r="I4" s="124">
        <v>73</v>
      </c>
      <c r="J4" s="124">
        <v>60.8</v>
      </c>
      <c r="K4" s="124">
        <v>57.2</v>
      </c>
      <c r="L4" s="124">
        <v>64.3</v>
      </c>
      <c r="M4" s="124">
        <v>66.7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4846-98A0-43C0-8C04-8048212A941F}">
  <sheetPr>
    <tabColor rgb="FFFFFF00"/>
  </sheetPr>
  <dimension ref="A1:V7"/>
  <sheetViews>
    <sheetView workbookViewId="0">
      <selection activeCell="N1" sqref="N1:V1"/>
    </sheetView>
  </sheetViews>
  <sheetFormatPr defaultRowHeight="15" x14ac:dyDescent="0.25"/>
  <cols>
    <col min="2" max="2" width="14.28515625" bestFit="1" customWidth="1"/>
    <col min="4" max="4" width="16.28515625" bestFit="1" customWidth="1"/>
    <col min="5" max="5" width="11.28515625" bestFit="1" customWidth="1"/>
  </cols>
  <sheetData>
    <row r="1" spans="1:22" ht="30" x14ac:dyDescent="0.25">
      <c r="A1" s="2" t="s">
        <v>0</v>
      </c>
      <c r="B1" s="3" t="s">
        <v>11</v>
      </c>
      <c r="C1" s="3" t="s">
        <v>10</v>
      </c>
      <c r="D1" s="3" t="s">
        <v>12</v>
      </c>
      <c r="E1" s="3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30" t="s">
        <v>24</v>
      </c>
      <c r="O1" s="130" t="s">
        <v>137</v>
      </c>
      <c r="P1" s="131" t="s">
        <v>74</v>
      </c>
      <c r="Q1" s="131" t="s">
        <v>75</v>
      </c>
      <c r="R1" s="131" t="s">
        <v>76</v>
      </c>
      <c r="S1" s="131" t="s">
        <v>77</v>
      </c>
      <c r="T1" s="131" t="s">
        <v>78</v>
      </c>
      <c r="U1" s="131" t="s">
        <v>79</v>
      </c>
      <c r="V1" s="131" t="s">
        <v>80</v>
      </c>
    </row>
    <row r="2" spans="1:22" x14ac:dyDescent="0.25">
      <c r="A2" s="125">
        <v>1</v>
      </c>
      <c r="B2" s="125" t="s">
        <v>82</v>
      </c>
      <c r="C2" s="125">
        <v>13</v>
      </c>
      <c r="D2" s="125" t="s">
        <v>107</v>
      </c>
      <c r="E2" s="125" t="s">
        <v>108</v>
      </c>
      <c r="F2" s="125">
        <v>87.4</v>
      </c>
      <c r="G2" s="125">
        <v>74</v>
      </c>
      <c r="H2" s="125">
        <v>67.8</v>
      </c>
      <c r="I2" s="125">
        <v>76.400000000000006</v>
      </c>
      <c r="J2" s="125">
        <v>64.7</v>
      </c>
      <c r="K2" s="125">
        <v>59.3</v>
      </c>
      <c r="L2" s="125">
        <v>66.5</v>
      </c>
      <c r="M2" s="125">
        <v>70.400000000000006</v>
      </c>
    </row>
    <row r="3" spans="1:22" x14ac:dyDescent="0.25">
      <c r="A3" s="125">
        <v>2</v>
      </c>
      <c r="B3" s="125" t="s">
        <v>85</v>
      </c>
      <c r="C3" s="125">
        <v>14</v>
      </c>
      <c r="D3" s="125" t="s">
        <v>109</v>
      </c>
      <c r="E3" s="125" t="s">
        <v>110</v>
      </c>
      <c r="F3" s="125">
        <v>72.400000000000006</v>
      </c>
      <c r="G3" s="125">
        <v>66.099999999999994</v>
      </c>
      <c r="H3" s="125">
        <v>62.4</v>
      </c>
      <c r="I3" s="125">
        <v>67.900000000000006</v>
      </c>
      <c r="J3" s="125">
        <v>56.4</v>
      </c>
      <c r="K3" s="125">
        <v>54.4</v>
      </c>
      <c r="L3" s="125">
        <v>62.7</v>
      </c>
      <c r="M3" s="125">
        <v>66.2</v>
      </c>
    </row>
    <row r="4" spans="1:22" x14ac:dyDescent="0.25">
      <c r="A4" s="125">
        <v>3</v>
      </c>
      <c r="B4" s="125" t="s">
        <v>88</v>
      </c>
      <c r="C4" s="125">
        <v>15</v>
      </c>
      <c r="D4" s="125" t="s">
        <v>111</v>
      </c>
      <c r="E4" s="125" t="s">
        <v>112</v>
      </c>
      <c r="F4" s="125">
        <v>83.6</v>
      </c>
      <c r="G4" s="125">
        <v>67.3</v>
      </c>
      <c r="H4" s="125">
        <v>62.3</v>
      </c>
      <c r="I4" s="125">
        <v>70.7</v>
      </c>
      <c r="J4" s="125">
        <v>57.9</v>
      </c>
      <c r="K4" s="125">
        <v>54.7</v>
      </c>
      <c r="L4" s="125">
        <v>64.099999999999994</v>
      </c>
      <c r="M4" s="125">
        <v>72.099999999999994</v>
      </c>
    </row>
    <row r="5" spans="1:22" x14ac:dyDescent="0.25">
      <c r="A5" s="125">
        <v>4</v>
      </c>
      <c r="B5" s="125" t="s">
        <v>91</v>
      </c>
      <c r="C5" s="125">
        <v>16</v>
      </c>
      <c r="D5" s="125" t="s">
        <v>113</v>
      </c>
      <c r="E5" s="125" t="s">
        <v>114</v>
      </c>
      <c r="F5" s="125">
        <v>75.2</v>
      </c>
      <c r="G5" s="125">
        <v>74.099999999999994</v>
      </c>
      <c r="H5" s="125">
        <v>72.599999999999994</v>
      </c>
      <c r="I5" s="125">
        <v>75.3</v>
      </c>
      <c r="J5" s="125">
        <v>63.7</v>
      </c>
      <c r="K5" s="125">
        <v>60.2</v>
      </c>
      <c r="L5" s="125">
        <v>64.900000000000006</v>
      </c>
      <c r="M5" s="125">
        <v>67.400000000000006</v>
      </c>
    </row>
    <row r="6" spans="1:22" x14ac:dyDescent="0.25">
      <c r="A6" s="125">
        <v>5</v>
      </c>
      <c r="B6" s="125" t="s">
        <v>94</v>
      </c>
      <c r="C6" s="125">
        <v>18</v>
      </c>
      <c r="D6" s="125" t="s">
        <v>115</v>
      </c>
      <c r="E6" s="125" t="s">
        <v>116</v>
      </c>
      <c r="F6" s="125">
        <v>92.2</v>
      </c>
      <c r="G6" s="125">
        <v>78.7</v>
      </c>
      <c r="H6" s="125">
        <v>70.099999999999994</v>
      </c>
      <c r="I6" s="125">
        <v>84.1</v>
      </c>
      <c r="J6" s="125">
        <v>62.4</v>
      </c>
      <c r="K6" s="125">
        <v>53.5</v>
      </c>
      <c r="L6" s="125">
        <v>64.3</v>
      </c>
      <c r="M6" s="125">
        <v>70.400000000000006</v>
      </c>
    </row>
    <row r="7" spans="1:22" x14ac:dyDescent="0.25">
      <c r="A7" s="125">
        <v>6</v>
      </c>
      <c r="B7" s="125" t="s">
        <v>97</v>
      </c>
      <c r="C7" s="125">
        <v>20</v>
      </c>
      <c r="D7" s="125" t="s">
        <v>107</v>
      </c>
      <c r="E7" s="125" t="s">
        <v>108</v>
      </c>
      <c r="F7" s="125">
        <v>87.4</v>
      </c>
      <c r="G7" s="125">
        <v>74</v>
      </c>
      <c r="H7" s="125">
        <v>67.8</v>
      </c>
      <c r="I7" s="125">
        <v>76.400000000000006</v>
      </c>
      <c r="J7" s="125">
        <v>64.7</v>
      </c>
      <c r="K7" s="125">
        <v>59.3</v>
      </c>
      <c r="L7" s="125">
        <v>66.5</v>
      </c>
      <c r="M7" s="125">
        <v>70.400000000000006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674C-09C3-4703-9CAF-4A1A83AB3A6C}">
  <sheetPr>
    <tabColor rgb="FFFFFF00"/>
  </sheetPr>
  <dimension ref="A1:V4"/>
  <sheetViews>
    <sheetView workbookViewId="0">
      <selection activeCell="N1" sqref="N1:V1"/>
    </sheetView>
  </sheetViews>
  <sheetFormatPr defaultRowHeight="15" x14ac:dyDescent="0.25"/>
  <cols>
    <col min="2" max="2" width="14.28515625" bestFit="1" customWidth="1"/>
    <col min="4" max="4" width="16.28515625" bestFit="1" customWidth="1"/>
    <col min="5" max="5" width="11.28515625" bestFit="1" customWidth="1"/>
  </cols>
  <sheetData>
    <row r="1" spans="1:22" ht="30" x14ac:dyDescent="0.25">
      <c r="A1" s="2" t="s">
        <v>0</v>
      </c>
      <c r="B1" s="3" t="s">
        <v>11</v>
      </c>
      <c r="C1" s="3" t="s">
        <v>10</v>
      </c>
      <c r="D1" s="3" t="s">
        <v>12</v>
      </c>
      <c r="E1" s="3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30" t="s">
        <v>24</v>
      </c>
      <c r="O1" s="130" t="s">
        <v>137</v>
      </c>
      <c r="P1" s="131" t="s">
        <v>74</v>
      </c>
      <c r="Q1" s="131" t="s">
        <v>75</v>
      </c>
      <c r="R1" s="131" t="s">
        <v>76</v>
      </c>
      <c r="S1" s="131" t="s">
        <v>77</v>
      </c>
      <c r="T1" s="131" t="s">
        <v>78</v>
      </c>
      <c r="U1" s="131" t="s">
        <v>79</v>
      </c>
      <c r="V1" s="131" t="s">
        <v>80</v>
      </c>
    </row>
    <row r="2" spans="1:22" x14ac:dyDescent="0.25">
      <c r="A2" s="126">
        <v>4</v>
      </c>
      <c r="B2" s="126" t="s">
        <v>100</v>
      </c>
      <c r="C2" s="126">
        <v>17</v>
      </c>
      <c r="D2" s="126" t="s">
        <v>117</v>
      </c>
      <c r="E2" s="126" t="s">
        <v>118</v>
      </c>
      <c r="F2" s="126">
        <v>75</v>
      </c>
      <c r="G2" s="126">
        <v>70.400000000000006</v>
      </c>
      <c r="H2" s="126">
        <v>66.5</v>
      </c>
      <c r="I2" s="126">
        <v>72.900000000000006</v>
      </c>
      <c r="J2" s="126">
        <v>63.3</v>
      </c>
      <c r="K2" s="126">
        <v>58.7</v>
      </c>
      <c r="L2" s="126">
        <v>65.3</v>
      </c>
      <c r="M2" s="126">
        <v>67.099999999999994</v>
      </c>
    </row>
    <row r="3" spans="1:22" x14ac:dyDescent="0.25">
      <c r="A3" s="126">
        <v>5</v>
      </c>
      <c r="B3" s="126" t="s">
        <v>103</v>
      </c>
      <c r="C3" s="126">
        <v>19</v>
      </c>
      <c r="D3" s="126" t="s">
        <v>119</v>
      </c>
      <c r="E3" s="126" t="s">
        <v>120</v>
      </c>
      <c r="F3" s="126">
        <v>86.7</v>
      </c>
      <c r="G3" s="126">
        <v>72.5</v>
      </c>
      <c r="H3" s="126">
        <v>66.7</v>
      </c>
      <c r="I3" s="126">
        <v>76.5</v>
      </c>
      <c r="J3" s="126">
        <v>63.8</v>
      </c>
      <c r="K3" s="126">
        <v>58.4</v>
      </c>
      <c r="L3" s="126">
        <v>65.8</v>
      </c>
      <c r="M3" s="126">
        <v>69.5</v>
      </c>
    </row>
    <row r="4" spans="1:22" x14ac:dyDescent="0.25">
      <c r="A4" s="126">
        <v>6</v>
      </c>
      <c r="B4" s="126" t="s">
        <v>106</v>
      </c>
      <c r="C4" s="126">
        <v>21</v>
      </c>
      <c r="D4" s="126" t="s">
        <v>121</v>
      </c>
      <c r="E4" s="126" t="s">
        <v>122</v>
      </c>
      <c r="F4" s="126">
        <v>91</v>
      </c>
      <c r="G4" s="126">
        <v>78.8</v>
      </c>
      <c r="H4" s="126">
        <v>71.599999999999994</v>
      </c>
      <c r="I4" s="126">
        <v>82.2</v>
      </c>
      <c r="J4" s="126">
        <v>66.3</v>
      </c>
      <c r="K4" s="126">
        <v>60.6</v>
      </c>
      <c r="L4" s="126">
        <v>67.400000000000006</v>
      </c>
      <c r="M4" s="126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F6A6-BABA-4E76-9A45-B8CF47F6EB43}">
  <sheetPr>
    <tabColor rgb="FFFFFF00"/>
  </sheetPr>
  <dimension ref="A1:V7"/>
  <sheetViews>
    <sheetView workbookViewId="0">
      <selection activeCell="N1" sqref="N1:V1"/>
    </sheetView>
  </sheetViews>
  <sheetFormatPr defaultRowHeight="15" x14ac:dyDescent="0.25"/>
  <cols>
    <col min="2" max="2" width="14.28515625" bestFit="1" customWidth="1"/>
    <col min="4" max="4" width="16.28515625" bestFit="1" customWidth="1"/>
    <col min="5" max="5" width="11.28515625" bestFit="1" customWidth="1"/>
  </cols>
  <sheetData>
    <row r="1" spans="1:22" ht="30" x14ac:dyDescent="0.25">
      <c r="A1" s="2" t="s">
        <v>0</v>
      </c>
      <c r="B1" s="3" t="s">
        <v>11</v>
      </c>
      <c r="C1" s="3" t="s">
        <v>10</v>
      </c>
      <c r="D1" s="3" t="s">
        <v>12</v>
      </c>
      <c r="E1" s="3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30" t="s">
        <v>24</v>
      </c>
      <c r="O1" s="130" t="s">
        <v>137</v>
      </c>
      <c r="P1" s="131" t="s">
        <v>74</v>
      </c>
      <c r="Q1" s="131" t="s">
        <v>75</v>
      </c>
      <c r="R1" s="131" t="s">
        <v>76</v>
      </c>
      <c r="S1" s="131" t="s">
        <v>77</v>
      </c>
      <c r="T1" s="131" t="s">
        <v>78</v>
      </c>
      <c r="U1" s="131" t="s">
        <v>79</v>
      </c>
      <c r="V1" s="131" t="s">
        <v>80</v>
      </c>
    </row>
    <row r="2" spans="1:22" x14ac:dyDescent="0.25">
      <c r="A2" s="127">
        <v>1</v>
      </c>
      <c r="B2" s="127" t="s">
        <v>82</v>
      </c>
      <c r="C2" s="127">
        <v>24</v>
      </c>
      <c r="D2" s="127" t="s">
        <v>123</v>
      </c>
      <c r="E2" s="127" t="s">
        <v>124</v>
      </c>
      <c r="F2" s="127">
        <v>87.2</v>
      </c>
      <c r="G2" s="127">
        <v>78</v>
      </c>
      <c r="H2" s="127">
        <v>71.7</v>
      </c>
      <c r="I2" s="127">
        <v>80.599999999999994</v>
      </c>
      <c r="J2" s="127">
        <v>68.2</v>
      </c>
      <c r="K2" s="127">
        <v>62</v>
      </c>
      <c r="L2" s="127">
        <v>66.8</v>
      </c>
      <c r="M2" s="127">
        <v>69.099999999999994</v>
      </c>
    </row>
    <row r="3" spans="1:22" x14ac:dyDescent="0.25">
      <c r="A3" s="127">
        <v>2</v>
      </c>
      <c r="B3" s="127" t="s">
        <v>85</v>
      </c>
      <c r="C3" s="127">
        <v>25</v>
      </c>
      <c r="D3" s="127" t="s">
        <v>125</v>
      </c>
      <c r="E3" s="127" t="s">
        <v>126</v>
      </c>
      <c r="F3" s="127">
        <v>72.7</v>
      </c>
      <c r="G3" s="127">
        <v>73.099999999999994</v>
      </c>
      <c r="H3" s="127">
        <v>66.400000000000006</v>
      </c>
      <c r="I3" s="127">
        <v>76.7</v>
      </c>
      <c r="J3" s="127">
        <v>61</v>
      </c>
      <c r="K3" s="127">
        <v>56</v>
      </c>
      <c r="L3" s="127">
        <v>62.1</v>
      </c>
      <c r="M3" s="127">
        <v>64.599999999999994</v>
      </c>
    </row>
    <row r="4" spans="1:22" x14ac:dyDescent="0.25">
      <c r="A4" s="127">
        <v>3</v>
      </c>
      <c r="B4" s="127" t="s">
        <v>88</v>
      </c>
      <c r="C4" s="127">
        <v>26</v>
      </c>
      <c r="D4" s="127" t="s">
        <v>113</v>
      </c>
      <c r="E4" s="127" t="s">
        <v>114</v>
      </c>
      <c r="F4" s="127">
        <v>75.2</v>
      </c>
      <c r="G4" s="127">
        <v>74.099999999999994</v>
      </c>
      <c r="H4" s="127">
        <v>72.599999999999994</v>
      </c>
      <c r="I4" s="127">
        <v>75.3</v>
      </c>
      <c r="J4" s="127">
        <v>63.7</v>
      </c>
      <c r="K4" s="127">
        <v>60.2</v>
      </c>
      <c r="L4" s="127">
        <v>64.900000000000006</v>
      </c>
      <c r="M4" s="127">
        <v>67.400000000000006</v>
      </c>
    </row>
    <row r="5" spans="1:22" x14ac:dyDescent="0.25">
      <c r="A5" s="127">
        <v>4</v>
      </c>
      <c r="B5" s="127" t="s">
        <v>91</v>
      </c>
      <c r="C5" s="127">
        <v>27</v>
      </c>
      <c r="D5" s="127" t="s">
        <v>127</v>
      </c>
      <c r="E5" s="127" t="s">
        <v>128</v>
      </c>
      <c r="F5" s="127">
        <v>69.599999999999994</v>
      </c>
      <c r="G5" s="127">
        <v>65.7</v>
      </c>
      <c r="H5" s="127">
        <v>59.5</v>
      </c>
      <c r="I5" s="127">
        <v>69.099999999999994</v>
      </c>
      <c r="J5" s="127">
        <v>54.9</v>
      </c>
      <c r="K5" s="127">
        <v>52</v>
      </c>
      <c r="L5" s="127">
        <v>60.8</v>
      </c>
      <c r="M5" s="127">
        <v>63.7</v>
      </c>
    </row>
    <row r="6" spans="1:22" x14ac:dyDescent="0.25">
      <c r="A6" s="127">
        <v>5</v>
      </c>
      <c r="B6" s="127" t="s">
        <v>94</v>
      </c>
      <c r="C6" s="127">
        <v>29</v>
      </c>
      <c r="D6" s="127" t="s">
        <v>117</v>
      </c>
      <c r="E6" s="127" t="s">
        <v>118</v>
      </c>
      <c r="F6" s="127">
        <v>75</v>
      </c>
      <c r="G6" s="127">
        <v>70.400000000000006</v>
      </c>
      <c r="H6" s="127">
        <v>66.5</v>
      </c>
      <c r="I6" s="127">
        <v>72.900000000000006</v>
      </c>
      <c r="J6" s="127">
        <v>63.3</v>
      </c>
      <c r="K6" s="127">
        <v>58.7</v>
      </c>
      <c r="L6" s="127">
        <v>65.3</v>
      </c>
      <c r="M6" s="127">
        <v>67.099999999999994</v>
      </c>
    </row>
    <row r="7" spans="1:22" x14ac:dyDescent="0.25">
      <c r="A7" s="127">
        <v>6</v>
      </c>
      <c r="B7" s="127" t="s">
        <v>97</v>
      </c>
      <c r="C7" s="127">
        <v>31</v>
      </c>
      <c r="D7" s="127" t="s">
        <v>129</v>
      </c>
      <c r="E7" s="127" t="s">
        <v>130</v>
      </c>
      <c r="F7" s="127">
        <v>75.599999999999994</v>
      </c>
      <c r="G7" s="127">
        <v>72.099999999999994</v>
      </c>
      <c r="H7" s="127">
        <v>68.5</v>
      </c>
      <c r="I7" s="127">
        <v>74.5</v>
      </c>
      <c r="J7" s="127">
        <v>63.2</v>
      </c>
      <c r="K7" s="127">
        <v>58.1</v>
      </c>
      <c r="L7" s="127">
        <v>65.099999999999994</v>
      </c>
      <c r="M7" s="127">
        <v>68.400000000000006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96ECB-615E-45DC-8386-AC1C9259A39E}">
  <sheetPr>
    <tabColor rgb="FFFFFF00"/>
  </sheetPr>
  <dimension ref="A1:V4"/>
  <sheetViews>
    <sheetView workbookViewId="0">
      <selection activeCell="M17" sqref="M17"/>
    </sheetView>
  </sheetViews>
  <sheetFormatPr defaultRowHeight="15" x14ac:dyDescent="0.25"/>
  <cols>
    <col min="2" max="2" width="14.28515625" bestFit="1" customWidth="1"/>
    <col min="4" max="4" width="15.42578125" customWidth="1"/>
    <col min="5" max="5" width="11.28515625" bestFit="1" customWidth="1"/>
  </cols>
  <sheetData>
    <row r="1" spans="1:22" ht="30" x14ac:dyDescent="0.25">
      <c r="A1" s="2" t="s">
        <v>0</v>
      </c>
      <c r="B1" s="3" t="s">
        <v>11</v>
      </c>
      <c r="C1" s="3" t="s">
        <v>10</v>
      </c>
      <c r="D1" s="2" t="s">
        <v>13</v>
      </c>
      <c r="E1" s="3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30" t="s">
        <v>24</v>
      </c>
      <c r="O1" s="130" t="s">
        <v>137</v>
      </c>
      <c r="P1" s="131" t="s">
        <v>74</v>
      </c>
      <c r="Q1" s="131" t="s">
        <v>75</v>
      </c>
      <c r="R1" s="131" t="s">
        <v>76</v>
      </c>
      <c r="S1" s="131" t="s">
        <v>77</v>
      </c>
      <c r="T1" s="131" t="s">
        <v>78</v>
      </c>
      <c r="U1" s="131" t="s">
        <v>79</v>
      </c>
      <c r="V1" s="131" t="s">
        <v>80</v>
      </c>
    </row>
    <row r="2" spans="1:22" x14ac:dyDescent="0.25">
      <c r="A2" s="128">
        <v>4</v>
      </c>
      <c r="B2" s="128" t="s">
        <v>100</v>
      </c>
      <c r="C2" s="128">
        <v>28</v>
      </c>
      <c r="D2" s="128" t="s">
        <v>131</v>
      </c>
      <c r="E2" s="128" t="s">
        <v>132</v>
      </c>
      <c r="F2" s="128">
        <v>67.400000000000006</v>
      </c>
      <c r="G2" s="128">
        <v>65.599999999999994</v>
      </c>
      <c r="H2" s="128">
        <v>61</v>
      </c>
      <c r="I2" s="128">
        <v>67.599999999999994</v>
      </c>
      <c r="J2" s="128">
        <v>56.3</v>
      </c>
      <c r="K2" s="128">
        <v>51.1</v>
      </c>
      <c r="L2" s="128">
        <v>54.8</v>
      </c>
      <c r="M2" s="128">
        <v>58.5</v>
      </c>
    </row>
    <row r="3" spans="1:22" x14ac:dyDescent="0.25">
      <c r="A3" s="128">
        <v>5</v>
      </c>
      <c r="B3" s="128" t="s">
        <v>103</v>
      </c>
      <c r="C3" s="128">
        <v>30</v>
      </c>
      <c r="D3" s="128" t="s">
        <v>133</v>
      </c>
      <c r="E3" s="128" t="s">
        <v>134</v>
      </c>
      <c r="F3" s="128">
        <v>84.6</v>
      </c>
      <c r="G3" s="128">
        <v>73.5</v>
      </c>
      <c r="H3" s="128">
        <v>70.5</v>
      </c>
      <c r="I3" s="128">
        <v>75.900000000000006</v>
      </c>
      <c r="J3" s="128">
        <v>62.4</v>
      </c>
      <c r="K3" s="128">
        <v>57.7</v>
      </c>
      <c r="L3" s="128">
        <v>65.8</v>
      </c>
      <c r="M3" s="128">
        <v>74.599999999999994</v>
      </c>
    </row>
    <row r="4" spans="1:22" x14ac:dyDescent="0.25">
      <c r="A4" s="128">
        <v>6</v>
      </c>
      <c r="B4" s="128" t="s">
        <v>106</v>
      </c>
      <c r="C4" s="128">
        <v>32</v>
      </c>
      <c r="D4" s="128" t="s">
        <v>135</v>
      </c>
      <c r="E4" s="128" t="s">
        <v>136</v>
      </c>
      <c r="F4" s="128">
        <v>73.099999999999994</v>
      </c>
      <c r="G4" s="128">
        <v>67.7</v>
      </c>
      <c r="H4" s="128">
        <v>62.1</v>
      </c>
      <c r="I4" s="128">
        <v>70.8</v>
      </c>
      <c r="J4" s="128">
        <v>59.7</v>
      </c>
      <c r="K4" s="128">
        <v>55.6</v>
      </c>
      <c r="L4" s="128">
        <v>63.4</v>
      </c>
      <c r="M4" s="128">
        <v>65.3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594D6-54A1-4791-AAEB-E2C29B1BD3B0}">
  <dimension ref="A1:H7"/>
  <sheetViews>
    <sheetView workbookViewId="0">
      <selection activeCell="G13" sqref="G13"/>
    </sheetView>
  </sheetViews>
  <sheetFormatPr defaultRowHeight="15" x14ac:dyDescent="0.25"/>
  <cols>
    <col min="1" max="1" width="3.5703125" bestFit="1" customWidth="1"/>
    <col min="2" max="2" width="14.140625" bestFit="1" customWidth="1"/>
  </cols>
  <sheetData>
    <row r="1" spans="1:8" ht="15.75" thickBot="1" x14ac:dyDescent="0.3">
      <c r="A1" s="206" t="s">
        <v>138</v>
      </c>
      <c r="B1" s="207" t="s">
        <v>139</v>
      </c>
      <c r="C1" s="207" t="s">
        <v>140</v>
      </c>
      <c r="D1" s="207" t="s">
        <v>141</v>
      </c>
      <c r="E1" s="207" t="s">
        <v>142</v>
      </c>
      <c r="F1" s="207" t="s">
        <v>143</v>
      </c>
      <c r="G1" s="207" t="s">
        <v>144</v>
      </c>
      <c r="H1" s="208" t="s">
        <v>145</v>
      </c>
    </row>
    <row r="2" spans="1:8" x14ac:dyDescent="0.25">
      <c r="A2" s="99"/>
      <c r="B2" s="22"/>
      <c r="C2" s="22"/>
      <c r="D2" s="22"/>
      <c r="E2" s="22"/>
      <c r="F2" s="22"/>
      <c r="G2" s="22"/>
      <c r="H2" s="23"/>
    </row>
    <row r="3" spans="1:8" x14ac:dyDescent="0.25">
      <c r="A3" s="70"/>
      <c r="B3" s="5"/>
      <c r="C3" s="5"/>
      <c r="D3" s="5"/>
      <c r="E3" s="5"/>
      <c r="F3" s="5"/>
      <c r="G3" s="5"/>
      <c r="H3" s="12"/>
    </row>
    <row r="4" spans="1:8" x14ac:dyDescent="0.25">
      <c r="A4" s="70"/>
      <c r="B4" s="5"/>
      <c r="C4" s="5"/>
      <c r="D4" s="5"/>
      <c r="E4" s="5"/>
      <c r="F4" s="5"/>
      <c r="G4" s="5"/>
      <c r="H4" s="12"/>
    </row>
    <row r="5" spans="1:8" x14ac:dyDescent="0.25">
      <c r="A5" s="70"/>
      <c r="B5" s="5"/>
      <c r="C5" s="5"/>
      <c r="D5" s="5"/>
      <c r="E5" s="5"/>
      <c r="F5" s="5"/>
      <c r="G5" s="5"/>
      <c r="H5" s="12"/>
    </row>
    <row r="6" spans="1:8" x14ac:dyDescent="0.25">
      <c r="A6" s="70"/>
      <c r="B6" s="5"/>
      <c r="C6" s="5"/>
      <c r="D6" s="5"/>
      <c r="E6" s="5"/>
      <c r="F6" s="5"/>
      <c r="G6" s="5"/>
      <c r="H6" s="12"/>
    </row>
    <row r="7" spans="1:8" ht="15.75" thickBot="1" x14ac:dyDescent="0.3">
      <c r="A7" s="71"/>
      <c r="B7" s="13"/>
      <c r="C7" s="13"/>
      <c r="D7" s="13"/>
      <c r="E7" s="13"/>
      <c r="F7" s="13"/>
      <c r="G7" s="13"/>
      <c r="H7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AADD-A0E9-4211-B047-0D06FFDB32A6}">
  <dimension ref="A1:G14"/>
  <sheetViews>
    <sheetView tabSelected="1" workbookViewId="0">
      <selection activeCell="L14" sqref="L14"/>
    </sheetView>
  </sheetViews>
  <sheetFormatPr defaultRowHeight="15" x14ac:dyDescent="0.25"/>
  <cols>
    <col min="1" max="1" width="6.42578125" bestFit="1" customWidth="1"/>
    <col min="2" max="2" width="24.140625" customWidth="1"/>
    <col min="3" max="3" width="14.42578125" customWidth="1"/>
    <col min="5" max="5" width="14.28515625" customWidth="1"/>
    <col min="6" max="6" width="15.85546875" customWidth="1"/>
    <col min="7" max="7" width="21.28515625" customWidth="1"/>
  </cols>
  <sheetData>
    <row r="1" spans="1:7" ht="15.75" thickBot="1" x14ac:dyDescent="0.3">
      <c r="A1" s="42" t="s">
        <v>19</v>
      </c>
      <c r="B1" s="19" t="s">
        <v>146</v>
      </c>
      <c r="C1" s="43" t="s">
        <v>147</v>
      </c>
      <c r="D1" s="19" t="s">
        <v>148</v>
      </c>
      <c r="E1" s="39" t="s">
        <v>149</v>
      </c>
      <c r="F1" s="209" t="s">
        <v>150</v>
      </c>
      <c r="G1" s="211" t="s">
        <v>151</v>
      </c>
    </row>
    <row r="2" spans="1:7" ht="15.75" thickBot="1" x14ac:dyDescent="0.3">
      <c r="A2" s="28"/>
      <c r="B2" s="21"/>
      <c r="C2" s="27"/>
      <c r="D2" s="21"/>
      <c r="E2" s="39" t="s">
        <v>152</v>
      </c>
      <c r="F2" s="210"/>
      <c r="G2" s="212"/>
    </row>
    <row r="3" spans="1:7" ht="15.75" thickBot="1" x14ac:dyDescent="0.3">
      <c r="A3" s="96" t="s">
        <v>153</v>
      </c>
      <c r="B3" s="97"/>
      <c r="C3" s="97"/>
      <c r="D3" s="97"/>
      <c r="E3" s="97"/>
      <c r="F3" s="97"/>
      <c r="G3" s="98"/>
    </row>
    <row r="4" spans="1:7" x14ac:dyDescent="0.25">
      <c r="A4" s="141">
        <f>Gündüz!A5</f>
        <v>4</v>
      </c>
      <c r="B4" s="143" t="str">
        <f>Gündüz!B5</f>
        <v>Çevre Ölçüm Noktası 1</v>
      </c>
      <c r="C4" s="143"/>
      <c r="D4" s="143"/>
      <c r="E4" s="143"/>
      <c r="F4" s="143"/>
      <c r="G4" s="114"/>
    </row>
    <row r="5" spans="1:7" x14ac:dyDescent="0.25">
      <c r="A5" s="150">
        <f>Gündüz!A6</f>
        <v>5</v>
      </c>
      <c r="B5" s="149" t="str">
        <f>Gündüz!B6</f>
        <v>Çevre Ölçüm Noktası 2</v>
      </c>
      <c r="C5" s="149"/>
      <c r="D5" s="149"/>
      <c r="E5" s="149"/>
      <c r="F5" s="149"/>
      <c r="G5" s="115"/>
    </row>
    <row r="6" spans="1:7" ht="15.75" thickBot="1" x14ac:dyDescent="0.3">
      <c r="A6" s="168">
        <f>Gündüz!A7</f>
        <v>6</v>
      </c>
      <c r="B6" s="160" t="str">
        <f>Gündüz!B7</f>
        <v>Çevre Ölçüm Noktası 3</v>
      </c>
      <c r="C6" s="160"/>
      <c r="D6" s="160"/>
      <c r="E6" s="160"/>
      <c r="F6" s="160"/>
      <c r="G6" s="116"/>
    </row>
    <row r="7" spans="1:7" ht="15.75" thickBot="1" x14ac:dyDescent="0.3">
      <c r="A7" s="85" t="s">
        <v>154</v>
      </c>
      <c r="B7" s="86"/>
      <c r="C7" s="86"/>
      <c r="D7" s="86"/>
      <c r="E7" s="86"/>
      <c r="F7" s="86"/>
      <c r="G7" s="87"/>
    </row>
    <row r="8" spans="1:7" x14ac:dyDescent="0.25">
      <c r="A8" s="141">
        <f>Akşam!A5</f>
        <v>4</v>
      </c>
      <c r="B8" s="143" t="str">
        <f>Akşam!B5</f>
        <v>Çevre Ölçüm Noktası 1</v>
      </c>
      <c r="C8" s="143"/>
      <c r="D8" s="143"/>
      <c r="E8" s="143"/>
      <c r="F8" s="143"/>
      <c r="G8" s="114"/>
    </row>
    <row r="9" spans="1:7" x14ac:dyDescent="0.25">
      <c r="A9" s="150">
        <f>Akşam!A6</f>
        <v>5</v>
      </c>
      <c r="B9" s="149" t="str">
        <f>Akşam!B6</f>
        <v>Çevre Ölçüm Noktası 2</v>
      </c>
      <c r="C9" s="149"/>
      <c r="D9" s="149"/>
      <c r="E9" s="149"/>
      <c r="F9" s="149"/>
      <c r="G9" s="115"/>
    </row>
    <row r="10" spans="1:7" ht="15.75" thickBot="1" x14ac:dyDescent="0.3">
      <c r="A10" s="168">
        <f>Akşam!A7</f>
        <v>6</v>
      </c>
      <c r="B10" s="160" t="str">
        <f>Akşam!B7</f>
        <v>Çevre Ölçüm Noktası 3</v>
      </c>
      <c r="C10" s="160"/>
      <c r="D10" s="160"/>
      <c r="E10" s="160"/>
      <c r="F10" s="160"/>
      <c r="G10" s="116"/>
    </row>
    <row r="11" spans="1:7" ht="15.75" thickBot="1" x14ac:dyDescent="0.3">
      <c r="A11" s="85" t="s">
        <v>155</v>
      </c>
      <c r="B11" s="86"/>
      <c r="C11" s="86"/>
      <c r="D11" s="86"/>
      <c r="E11" s="86"/>
      <c r="F11" s="86"/>
      <c r="G11" s="87"/>
    </row>
    <row r="12" spans="1:7" x14ac:dyDescent="0.25">
      <c r="A12" s="141">
        <f>Gece!A5</f>
        <v>4</v>
      </c>
      <c r="B12" s="143" t="str">
        <f>Gece!B5</f>
        <v>Çevre Ölçüm Noktası 1</v>
      </c>
      <c r="C12" s="143"/>
      <c r="D12" s="143"/>
      <c r="E12" s="143"/>
      <c r="F12" s="143"/>
      <c r="G12" s="114"/>
    </row>
    <row r="13" spans="1:7" x14ac:dyDescent="0.25">
      <c r="A13" s="150">
        <f>Gece!A6</f>
        <v>5</v>
      </c>
      <c r="B13" s="149" t="str">
        <f>Gece!B6</f>
        <v>Çevre Ölçüm Noktası 2</v>
      </c>
      <c r="C13" s="149"/>
      <c r="D13" s="149"/>
      <c r="E13" s="149"/>
      <c r="F13" s="149"/>
      <c r="G13" s="115"/>
    </row>
    <row r="14" spans="1:7" ht="15.75" thickBot="1" x14ac:dyDescent="0.3">
      <c r="A14" s="151">
        <f>Gece!A7</f>
        <v>6</v>
      </c>
      <c r="B14" s="153" t="str">
        <f>Gece!B7</f>
        <v>Çevre Ölçüm Noktası 3</v>
      </c>
      <c r="C14" s="153"/>
      <c r="D14" s="153"/>
      <c r="E14" s="153"/>
      <c r="F14" s="153"/>
      <c r="G14" s="117"/>
    </row>
  </sheetData>
  <mergeCells count="9">
    <mergeCell ref="A3:G3"/>
    <mergeCell ref="A7:G7"/>
    <mergeCell ref="A11:G11"/>
    <mergeCell ref="A1:A2"/>
    <mergeCell ref="B1:B2"/>
    <mergeCell ref="C1:C2"/>
    <mergeCell ref="D1:D2"/>
    <mergeCell ref="F1:F2"/>
    <mergeCell ref="G1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6F5C0-3F64-415E-B968-8E2CE8EE7E2A}">
  <dimension ref="A1:J46"/>
  <sheetViews>
    <sheetView topLeftCell="A23" workbookViewId="0">
      <selection activeCell="C57" sqref="C57"/>
    </sheetView>
  </sheetViews>
  <sheetFormatPr defaultRowHeight="15" x14ac:dyDescent="0.25"/>
  <cols>
    <col min="1" max="1" width="21.28515625" customWidth="1"/>
    <col min="3" max="3" width="26.140625" bestFit="1" customWidth="1"/>
  </cols>
  <sheetData>
    <row r="1" spans="1:10" ht="15.75" thickBot="1" x14ac:dyDescent="0.3">
      <c r="A1" s="15" t="s">
        <v>14</v>
      </c>
      <c r="B1" s="16"/>
      <c r="C1" s="30"/>
      <c r="D1" s="16"/>
      <c r="E1" s="30"/>
      <c r="F1" s="30"/>
      <c r="G1" s="30"/>
      <c r="H1" s="30"/>
      <c r="I1" s="30"/>
      <c r="J1" s="31"/>
    </row>
    <row r="2" spans="1:10" ht="15.75" thickBot="1" x14ac:dyDescent="0.3">
      <c r="A2" s="19" t="s">
        <v>18</v>
      </c>
      <c r="B2" s="27" t="s">
        <v>19</v>
      </c>
      <c r="C2" s="19" t="s">
        <v>20</v>
      </c>
      <c r="D2" s="27" t="s">
        <v>21</v>
      </c>
      <c r="E2" s="19" t="s">
        <v>22</v>
      </c>
      <c r="F2" s="15" t="s">
        <v>15</v>
      </c>
      <c r="G2" s="16"/>
      <c r="H2" s="16"/>
      <c r="I2" s="16"/>
      <c r="J2" s="17"/>
    </row>
    <row r="3" spans="1:10" x14ac:dyDescent="0.25">
      <c r="A3" s="20"/>
      <c r="B3" s="27"/>
      <c r="C3" s="20"/>
      <c r="D3" s="27"/>
      <c r="E3" s="20"/>
      <c r="F3" s="9" t="s">
        <v>16</v>
      </c>
      <c r="G3" s="10"/>
      <c r="H3" s="11"/>
      <c r="I3" s="9" t="s">
        <v>17</v>
      </c>
      <c r="J3" s="11"/>
    </row>
    <row r="4" spans="1:10" ht="31.5" customHeight="1" thickBot="1" x14ac:dyDescent="0.3">
      <c r="A4" s="20"/>
      <c r="B4" s="27"/>
      <c r="C4" s="20"/>
      <c r="D4" s="27"/>
      <c r="E4" s="20"/>
      <c r="F4" s="36"/>
      <c r="G4" s="37"/>
      <c r="H4" s="38"/>
      <c r="I4" s="36"/>
      <c r="J4" s="38"/>
    </row>
    <row r="5" spans="1:10" ht="15.75" thickBot="1" x14ac:dyDescent="0.3">
      <c r="A5" s="20"/>
      <c r="B5" s="27"/>
      <c r="C5" s="21"/>
      <c r="D5" s="27"/>
      <c r="E5" s="21"/>
      <c r="F5" s="34" t="s">
        <v>23</v>
      </c>
      <c r="G5" s="39" t="s">
        <v>24</v>
      </c>
      <c r="H5" s="34" t="s">
        <v>25</v>
      </c>
      <c r="I5" s="39" t="s">
        <v>23</v>
      </c>
      <c r="J5" s="35" t="s">
        <v>26</v>
      </c>
    </row>
    <row r="6" spans="1:10" ht="15.75" thickBot="1" x14ac:dyDescent="0.3">
      <c r="A6" s="24" t="s">
        <v>27</v>
      </c>
      <c r="B6" s="25"/>
      <c r="C6" s="33"/>
      <c r="D6" s="25"/>
      <c r="E6" s="33"/>
      <c r="F6" s="25"/>
      <c r="G6" s="33"/>
      <c r="H6" s="25"/>
      <c r="I6" s="33"/>
      <c r="J6" s="26"/>
    </row>
    <row r="7" spans="1:10" ht="15" customHeight="1" x14ac:dyDescent="0.25">
      <c r="A7" s="59" t="s">
        <v>34</v>
      </c>
      <c r="B7" s="132">
        <f>Gündüz!A2</f>
        <v>1</v>
      </c>
      <c r="C7" s="133" t="str">
        <f>Gündüz!B2</f>
        <v>İşletme İçi 1. Ölçüm Noktası</v>
      </c>
      <c r="D7" s="139" t="str">
        <f>Gündüz!D2</f>
        <v>17:16:15</v>
      </c>
      <c r="E7" s="139" t="str">
        <f>Gündüz!E2</f>
        <v>17:21:49</v>
      </c>
      <c r="F7" s="139">
        <f>Gündüz!K2</f>
        <v>62.3</v>
      </c>
      <c r="G7" s="139">
        <f>Gündüz!N2</f>
        <v>0</v>
      </c>
      <c r="H7" s="139">
        <f>Gündüz!O2</f>
        <v>0</v>
      </c>
      <c r="I7" s="139">
        <f>Gündüz!L2</f>
        <v>68.400000000000006</v>
      </c>
      <c r="J7" s="140">
        <f>Gündüz!F2</f>
        <v>84.7</v>
      </c>
    </row>
    <row r="8" spans="1:10" x14ac:dyDescent="0.25">
      <c r="A8" s="60"/>
      <c r="B8" s="134">
        <f>Gündüz!A3</f>
        <v>2</v>
      </c>
      <c r="C8" s="129" t="str">
        <f>Gündüz!B3</f>
        <v>İşletme İçi 2. Ölçüm Noktası</v>
      </c>
      <c r="D8" s="143" t="str">
        <f>Gündüz!D3</f>
        <v>17:22:15</v>
      </c>
      <c r="E8" s="143" t="str">
        <f>Gündüz!E3</f>
        <v>17:27:15</v>
      </c>
      <c r="F8" s="143">
        <f>Gündüz!K3</f>
        <v>59.2</v>
      </c>
      <c r="G8" s="143">
        <f>Gündüz!N3</f>
        <v>0</v>
      </c>
      <c r="H8" s="143">
        <f>Gündüz!O3</f>
        <v>0</v>
      </c>
      <c r="I8" s="143">
        <f>Gündüz!L3</f>
        <v>66.8</v>
      </c>
      <c r="J8" s="114">
        <f>Gündüz!F3</f>
        <v>87</v>
      </c>
    </row>
    <row r="9" spans="1:10" x14ac:dyDescent="0.25">
      <c r="A9" s="60"/>
      <c r="B9" s="134">
        <f>Gündüz!A4</f>
        <v>3</v>
      </c>
      <c r="C9" s="129" t="str">
        <f>Gündüz!B4</f>
        <v>İşletme İçi 3. Ölçüm Noktası</v>
      </c>
      <c r="D9" s="143" t="str">
        <f>Gündüz!D4</f>
        <v>17:28:02</v>
      </c>
      <c r="E9" s="143" t="str">
        <f>Gündüz!E4</f>
        <v>17:33:26</v>
      </c>
      <c r="F9" s="143">
        <f>Gündüz!K4</f>
        <v>63.9</v>
      </c>
      <c r="G9" s="143">
        <f>Gündüz!N4</f>
        <v>0</v>
      </c>
      <c r="H9" s="143">
        <f>Gündüz!O4</f>
        <v>0</v>
      </c>
      <c r="I9" s="143">
        <f>Gündüz!L4</f>
        <v>68.3</v>
      </c>
      <c r="J9" s="114">
        <f>Gündüz!F4</f>
        <v>81.2</v>
      </c>
    </row>
    <row r="10" spans="1:10" x14ac:dyDescent="0.25">
      <c r="A10" s="60"/>
      <c r="B10" s="134">
        <f>Gündüz!A5</f>
        <v>4</v>
      </c>
      <c r="C10" s="129" t="str">
        <f>Gündüz!B5</f>
        <v>Çevre Ölçüm Noktası 1</v>
      </c>
      <c r="D10" s="143" t="str">
        <f>Gündüz!D5</f>
        <v>17:58:40</v>
      </c>
      <c r="E10" s="143" t="str">
        <f>Gündüz!E5</f>
        <v>18:03:40</v>
      </c>
      <c r="F10" s="143">
        <f>Gündüz!K5</f>
        <v>57.9</v>
      </c>
      <c r="G10" s="143">
        <f>Gündüz!N5</f>
        <v>0</v>
      </c>
      <c r="H10" s="143">
        <f>Gündüz!O5</f>
        <v>0</v>
      </c>
      <c r="I10" s="143">
        <f>Gündüz!L5</f>
        <v>63.9</v>
      </c>
      <c r="J10" s="114">
        <f>Gündüz!F5</f>
        <v>76.3</v>
      </c>
    </row>
    <row r="11" spans="1:10" x14ac:dyDescent="0.25">
      <c r="A11" s="60"/>
      <c r="B11" s="134">
        <f>Gündüz!A6</f>
        <v>5</v>
      </c>
      <c r="C11" s="129" t="str">
        <f>Gündüz!B6</f>
        <v>Çevre Ölçüm Noktası 2</v>
      </c>
      <c r="D11" s="143" t="str">
        <f>Gündüz!D6</f>
        <v>17:34:04</v>
      </c>
      <c r="E11" s="143" t="str">
        <f>Gündüz!E6</f>
        <v>17:39:04</v>
      </c>
      <c r="F11" s="143">
        <f>Gündüz!K6</f>
        <v>62</v>
      </c>
      <c r="G11" s="143">
        <f>Gündüz!N6</f>
        <v>0</v>
      </c>
      <c r="H11" s="143">
        <f>Gündüz!O6</f>
        <v>0</v>
      </c>
      <c r="I11" s="143">
        <f>Gündüz!L6</f>
        <v>67.099999999999994</v>
      </c>
      <c r="J11" s="114">
        <f>Gündüz!F6</f>
        <v>80.400000000000006</v>
      </c>
    </row>
    <row r="12" spans="1:10" ht="15.75" thickBot="1" x14ac:dyDescent="0.3">
      <c r="A12" s="61"/>
      <c r="B12" s="135">
        <f>Gündüz!A7</f>
        <v>6</v>
      </c>
      <c r="C12" s="136" t="str">
        <f>Gündüz!B7</f>
        <v>Çevre Ölçüm Noktası 3</v>
      </c>
      <c r="D12" s="146" t="str">
        <f>Gündüz!D7</f>
        <v>17:46:26</v>
      </c>
      <c r="E12" s="146" t="str">
        <f>Gündüz!E7</f>
        <v>17:51:37</v>
      </c>
      <c r="F12" s="146">
        <f>Gündüz!K7</f>
        <v>59.3</v>
      </c>
      <c r="G12" s="146">
        <f>Gündüz!N7</f>
        <v>0</v>
      </c>
      <c r="H12" s="146">
        <f>Gündüz!O7</f>
        <v>0</v>
      </c>
      <c r="I12" s="146">
        <f>Gündüz!L7</f>
        <v>65.900000000000006</v>
      </c>
      <c r="J12" s="147">
        <f>Gündüz!F7</f>
        <v>82.9</v>
      </c>
    </row>
    <row r="17" spans="1:10" ht="15.75" thickBot="1" x14ac:dyDescent="0.3"/>
    <row r="18" spans="1:10" ht="15.75" thickBot="1" x14ac:dyDescent="0.3">
      <c r="A18" s="15" t="s">
        <v>14</v>
      </c>
      <c r="B18" s="16"/>
      <c r="C18" s="16"/>
      <c r="D18" s="16"/>
      <c r="E18" s="16"/>
      <c r="F18" s="16"/>
      <c r="G18" s="16"/>
      <c r="H18" s="16"/>
      <c r="I18" s="16"/>
      <c r="J18" s="17"/>
    </row>
    <row r="19" spans="1:10" ht="15.75" thickBot="1" x14ac:dyDescent="0.3">
      <c r="A19" s="40" t="s">
        <v>18</v>
      </c>
      <c r="B19" s="19" t="s">
        <v>19</v>
      </c>
      <c r="C19" s="27" t="s">
        <v>20</v>
      </c>
      <c r="D19" s="19" t="s">
        <v>21</v>
      </c>
      <c r="E19" s="19" t="s">
        <v>22</v>
      </c>
      <c r="F19" s="18" t="s">
        <v>15</v>
      </c>
      <c r="G19" s="4"/>
      <c r="H19" s="4"/>
      <c r="I19" s="4"/>
      <c r="J19" s="32"/>
    </row>
    <row r="20" spans="1:10" x14ac:dyDescent="0.25">
      <c r="A20" s="40"/>
      <c r="B20" s="20"/>
      <c r="C20" s="27"/>
      <c r="D20" s="20"/>
      <c r="E20" s="20"/>
      <c r="F20" s="9" t="s">
        <v>16</v>
      </c>
      <c r="G20" s="10"/>
      <c r="H20" s="11"/>
      <c r="I20" s="9" t="s">
        <v>17</v>
      </c>
      <c r="J20" s="11"/>
    </row>
    <row r="21" spans="1:10" ht="15.75" thickBot="1" x14ac:dyDescent="0.3">
      <c r="A21" s="40"/>
      <c r="B21" s="20"/>
      <c r="C21" s="27"/>
      <c r="D21" s="20"/>
      <c r="E21" s="20"/>
      <c r="F21" s="36"/>
      <c r="G21" s="37"/>
      <c r="H21" s="38"/>
      <c r="I21" s="36"/>
      <c r="J21" s="38"/>
    </row>
    <row r="22" spans="1:10" ht="15.75" thickBot="1" x14ac:dyDescent="0.3">
      <c r="A22" s="40"/>
      <c r="B22" s="21"/>
      <c r="C22" s="27"/>
      <c r="D22" s="21"/>
      <c r="E22" s="21"/>
      <c r="F22" s="34" t="s">
        <v>23</v>
      </c>
      <c r="G22" s="39" t="s">
        <v>24</v>
      </c>
      <c r="H22" s="34" t="s">
        <v>25</v>
      </c>
      <c r="I22" s="39" t="s">
        <v>23</v>
      </c>
      <c r="J22" s="35" t="s">
        <v>26</v>
      </c>
    </row>
    <row r="23" spans="1:10" ht="15" customHeight="1" thickBot="1" x14ac:dyDescent="0.3">
      <c r="A23" s="24" t="s">
        <v>28</v>
      </c>
      <c r="B23" s="25"/>
      <c r="C23" s="25"/>
      <c r="D23" s="25"/>
      <c r="E23" s="25"/>
      <c r="F23" s="25"/>
      <c r="G23" s="25"/>
      <c r="H23" s="25"/>
      <c r="I23" s="25"/>
      <c r="J23" s="26"/>
    </row>
    <row r="24" spans="1:10" ht="15" customHeight="1" x14ac:dyDescent="0.25">
      <c r="A24" s="59" t="s">
        <v>34</v>
      </c>
      <c r="B24" s="137">
        <f>Akşam!A2</f>
        <v>1</v>
      </c>
      <c r="C24" s="138" t="str">
        <f>Akşam!B2</f>
        <v>İşletme İçi 1. Ölçüm Noktası</v>
      </c>
      <c r="D24" s="139" t="str">
        <f>Akşam!D2</f>
        <v>19:12:39</v>
      </c>
      <c r="E24" s="139" t="str">
        <f>Akşam!E2</f>
        <v>19:17:39</v>
      </c>
      <c r="F24" s="139">
        <f>Akşam!K2</f>
        <v>59.3</v>
      </c>
      <c r="G24" s="139">
        <f>Akşam!N2</f>
        <v>0</v>
      </c>
      <c r="H24" s="139">
        <f>Akşam!O2</f>
        <v>0</v>
      </c>
      <c r="I24" s="139">
        <f>Akşam!L2</f>
        <v>66.5</v>
      </c>
      <c r="J24" s="140">
        <f>Akşam!F2</f>
        <v>87.4</v>
      </c>
    </row>
    <row r="25" spans="1:10" x14ac:dyDescent="0.25">
      <c r="A25" s="60"/>
      <c r="B25" s="141">
        <f>Akşam!A3</f>
        <v>2</v>
      </c>
      <c r="C25" s="142" t="str">
        <f>Akşam!B3</f>
        <v>İşletme İçi 2. Ölçüm Noktası</v>
      </c>
      <c r="D25" s="143" t="str">
        <f>Akşam!D3</f>
        <v>18:10:56</v>
      </c>
      <c r="E25" s="143" t="str">
        <f>Akşam!E3</f>
        <v>18:15:56</v>
      </c>
      <c r="F25" s="143">
        <f>Akşam!K3</f>
        <v>54.4</v>
      </c>
      <c r="G25" s="143">
        <f>Akşam!N3</f>
        <v>0</v>
      </c>
      <c r="H25" s="143">
        <f>Akşam!O3</f>
        <v>0</v>
      </c>
      <c r="I25" s="143">
        <f>Akşam!L3</f>
        <v>62.7</v>
      </c>
      <c r="J25" s="114">
        <f>Akşam!F3</f>
        <v>72.400000000000006</v>
      </c>
    </row>
    <row r="26" spans="1:10" x14ac:dyDescent="0.25">
      <c r="A26" s="60"/>
      <c r="B26" s="141">
        <f>Akşam!A4</f>
        <v>3</v>
      </c>
      <c r="C26" s="142" t="str">
        <f>Akşam!B4</f>
        <v>İşletme İçi 3. Ölçüm Noktası</v>
      </c>
      <c r="D26" s="143" t="str">
        <f>Akşam!D4</f>
        <v>18:25:02</v>
      </c>
      <c r="E26" s="143" t="str">
        <f>Akşam!E4</f>
        <v>18:30:47</v>
      </c>
      <c r="F26" s="143">
        <f>Akşam!K4</f>
        <v>54.7</v>
      </c>
      <c r="G26" s="143">
        <f>Akşam!N4</f>
        <v>0</v>
      </c>
      <c r="H26" s="143">
        <f>Akşam!O4</f>
        <v>0</v>
      </c>
      <c r="I26" s="143">
        <f>Akşam!L4</f>
        <v>64.099999999999994</v>
      </c>
      <c r="J26" s="114">
        <f>Akşam!F4</f>
        <v>83.6</v>
      </c>
    </row>
    <row r="27" spans="1:10" x14ac:dyDescent="0.25">
      <c r="A27" s="60"/>
      <c r="B27" s="141">
        <f>Akşam!A5</f>
        <v>4</v>
      </c>
      <c r="C27" s="142" t="str">
        <f>Akşam!B5</f>
        <v>Çevre Ölçüm Noktası 1</v>
      </c>
      <c r="D27" s="143" t="str">
        <f>Akşam!D5</f>
        <v>19:46:56</v>
      </c>
      <c r="E27" s="143" t="str">
        <f>Akşam!E5</f>
        <v>19:52:23</v>
      </c>
      <c r="F27" s="143">
        <f>Akşam!K5</f>
        <v>60.2</v>
      </c>
      <c r="G27" s="143">
        <f>Akşam!N5</f>
        <v>0</v>
      </c>
      <c r="H27" s="143">
        <f>Akşam!O5</f>
        <v>0</v>
      </c>
      <c r="I27" s="143">
        <f>Akşam!L5</f>
        <v>64.900000000000006</v>
      </c>
      <c r="J27" s="114">
        <f>Akşam!F5</f>
        <v>75.2</v>
      </c>
    </row>
    <row r="28" spans="1:10" x14ac:dyDescent="0.25">
      <c r="A28" s="60"/>
      <c r="B28" s="141">
        <f>Akşam!A6</f>
        <v>5</v>
      </c>
      <c r="C28" s="142" t="str">
        <f>Akşam!B6</f>
        <v>Çevre Ölçüm Noktası 2</v>
      </c>
      <c r="D28" s="143" t="str">
        <f>Akşam!D6</f>
        <v>18:31:04</v>
      </c>
      <c r="E28" s="143" t="str">
        <f>Akşam!E6</f>
        <v>18:36:04</v>
      </c>
      <c r="F28" s="143">
        <f>Akşam!K6</f>
        <v>53.5</v>
      </c>
      <c r="G28" s="143">
        <f>Akşam!N6</f>
        <v>0</v>
      </c>
      <c r="H28" s="143">
        <f>Akşam!O6</f>
        <v>0</v>
      </c>
      <c r="I28" s="143">
        <f>Akşam!L6</f>
        <v>64.3</v>
      </c>
      <c r="J28" s="114">
        <f>Akşam!F6</f>
        <v>92.2</v>
      </c>
    </row>
    <row r="29" spans="1:10" ht="15.75" thickBot="1" x14ac:dyDescent="0.3">
      <c r="A29" s="61"/>
      <c r="B29" s="144">
        <f>Akşam!A7</f>
        <v>6</v>
      </c>
      <c r="C29" s="145" t="str">
        <f>Akşam!B7</f>
        <v>Çevre Ölçüm Noktası 3</v>
      </c>
      <c r="D29" s="146" t="str">
        <f>Akşam!D7</f>
        <v>19:12:39</v>
      </c>
      <c r="E29" s="146" t="str">
        <f>Akşam!E7</f>
        <v>19:17:39</v>
      </c>
      <c r="F29" s="146">
        <f>Akşam!K7</f>
        <v>59.3</v>
      </c>
      <c r="G29" s="146">
        <f>Akşam!N7</f>
        <v>0</v>
      </c>
      <c r="H29" s="146">
        <f>Akşam!O7</f>
        <v>0</v>
      </c>
      <c r="I29" s="146">
        <f>Akşam!L7</f>
        <v>66.5</v>
      </c>
      <c r="J29" s="147">
        <f>Akşam!F7</f>
        <v>87.4</v>
      </c>
    </row>
    <row r="34" spans="1:10" ht="15.75" thickBot="1" x14ac:dyDescent="0.3"/>
    <row r="35" spans="1:10" ht="15.75" thickBot="1" x14ac:dyDescent="0.3">
      <c r="A35" s="15" t="s">
        <v>14</v>
      </c>
      <c r="B35" s="16"/>
      <c r="C35" s="16"/>
      <c r="D35" s="16"/>
      <c r="E35" s="16"/>
      <c r="F35" s="16"/>
      <c r="G35" s="16"/>
      <c r="H35" s="16"/>
      <c r="I35" s="16"/>
      <c r="J35" s="17"/>
    </row>
    <row r="36" spans="1:10" ht="15.75" thickBot="1" x14ac:dyDescent="0.3">
      <c r="A36" s="19" t="s">
        <v>18</v>
      </c>
      <c r="B36" s="27" t="s">
        <v>19</v>
      </c>
      <c r="C36" s="19" t="s">
        <v>20</v>
      </c>
      <c r="D36" s="27" t="s">
        <v>21</v>
      </c>
      <c r="E36" s="19" t="s">
        <v>22</v>
      </c>
      <c r="F36" s="18" t="s">
        <v>15</v>
      </c>
      <c r="G36" s="4"/>
      <c r="H36" s="4"/>
      <c r="I36" s="4"/>
      <c r="J36" s="32"/>
    </row>
    <row r="37" spans="1:10" x14ac:dyDescent="0.25">
      <c r="A37" s="20"/>
      <c r="B37" s="27"/>
      <c r="C37" s="20"/>
      <c r="D37" s="27"/>
      <c r="E37" s="20"/>
      <c r="F37" s="9" t="s">
        <v>16</v>
      </c>
      <c r="G37" s="10"/>
      <c r="H37" s="11"/>
      <c r="I37" s="9" t="s">
        <v>17</v>
      </c>
      <c r="J37" s="11"/>
    </row>
    <row r="38" spans="1:10" ht="15.75" thickBot="1" x14ac:dyDescent="0.3">
      <c r="A38" s="20"/>
      <c r="B38" s="27"/>
      <c r="C38" s="20"/>
      <c r="D38" s="27"/>
      <c r="E38" s="20"/>
      <c r="F38" s="36"/>
      <c r="G38" s="37"/>
      <c r="H38" s="38"/>
      <c r="I38" s="36"/>
      <c r="J38" s="38"/>
    </row>
    <row r="39" spans="1:10" ht="15.75" thickBot="1" x14ac:dyDescent="0.3">
      <c r="A39" s="20"/>
      <c r="B39" s="27"/>
      <c r="C39" s="20"/>
      <c r="D39" s="27"/>
      <c r="E39" s="20"/>
      <c r="F39" s="34" t="s">
        <v>23</v>
      </c>
      <c r="G39" s="48" t="s">
        <v>24</v>
      </c>
      <c r="H39" s="34" t="s">
        <v>25</v>
      </c>
      <c r="I39" s="48" t="s">
        <v>23</v>
      </c>
      <c r="J39" s="35" t="s">
        <v>26</v>
      </c>
    </row>
    <row r="40" spans="1:10" ht="15" customHeight="1" thickBot="1" x14ac:dyDescent="0.3">
      <c r="A40" s="24" t="s">
        <v>29</v>
      </c>
      <c r="B40" s="25"/>
      <c r="C40" s="25"/>
      <c r="D40" s="25"/>
      <c r="E40" s="25"/>
      <c r="F40" s="25"/>
      <c r="G40" s="25"/>
      <c r="H40" s="25"/>
      <c r="I40" s="25"/>
      <c r="J40" s="26"/>
    </row>
    <row r="41" spans="1:10" ht="15" customHeight="1" x14ac:dyDescent="0.25">
      <c r="A41" s="59" t="s">
        <v>34</v>
      </c>
      <c r="B41" s="137">
        <f>Gece!A2</f>
        <v>1</v>
      </c>
      <c r="C41" s="138" t="str">
        <f>Gece!B2</f>
        <v>İşletme İçi 1. Ölçüm Noktası</v>
      </c>
      <c r="D41" s="139" t="str">
        <f>Gece!D2</f>
        <v>23:04:28</v>
      </c>
      <c r="E41" s="139" t="str">
        <f>Gece!E2</f>
        <v>23:09:40</v>
      </c>
      <c r="F41" s="139">
        <f>Gece!K2</f>
        <v>62</v>
      </c>
      <c r="G41" s="139">
        <f>Gece!N2</f>
        <v>0</v>
      </c>
      <c r="H41" s="139">
        <f>Gece!O2</f>
        <v>0</v>
      </c>
      <c r="I41" s="139">
        <f>Gece!L2</f>
        <v>66.8</v>
      </c>
      <c r="J41" s="140">
        <f>Gece!F2</f>
        <v>87.2</v>
      </c>
    </row>
    <row r="42" spans="1:10" x14ac:dyDescent="0.25">
      <c r="A42" s="60"/>
      <c r="B42" s="141">
        <f>Gece!A3</f>
        <v>2</v>
      </c>
      <c r="C42" s="142" t="str">
        <f>Gece!B3</f>
        <v>İşletme İçi 2. Ölçüm Noktası</v>
      </c>
      <c r="D42" s="143" t="str">
        <f>Gece!D3</f>
        <v>19:41:14</v>
      </c>
      <c r="E42" s="143" t="str">
        <f>Gece!E3</f>
        <v>19:46:14</v>
      </c>
      <c r="F42" s="143">
        <f>Gece!K3</f>
        <v>56</v>
      </c>
      <c r="G42" s="143">
        <f>Gece!N3</f>
        <v>0</v>
      </c>
      <c r="H42" s="143">
        <f>Gece!O3</f>
        <v>0</v>
      </c>
      <c r="I42" s="143">
        <f>Gece!L3</f>
        <v>62.1</v>
      </c>
      <c r="J42" s="114">
        <f>Gece!F3</f>
        <v>72.7</v>
      </c>
    </row>
    <row r="43" spans="1:10" x14ac:dyDescent="0.25">
      <c r="A43" s="60"/>
      <c r="B43" s="141">
        <f>Gece!A4</f>
        <v>3</v>
      </c>
      <c r="C43" s="142" t="str">
        <f>Gece!B4</f>
        <v>İşletme İçi 3. Ölçüm Noktası</v>
      </c>
      <c r="D43" s="143" t="str">
        <f>Gece!D4</f>
        <v>19:46:56</v>
      </c>
      <c r="E43" s="143" t="str">
        <f>Gece!E4</f>
        <v>19:52:23</v>
      </c>
      <c r="F43" s="143">
        <f>Gece!K4</f>
        <v>60.2</v>
      </c>
      <c r="G43" s="143">
        <f>Gece!N4</f>
        <v>0</v>
      </c>
      <c r="H43" s="143">
        <f>Gece!O4</f>
        <v>0</v>
      </c>
      <c r="I43" s="143">
        <f>Gece!L4</f>
        <v>64.900000000000006</v>
      </c>
      <c r="J43" s="114">
        <f>Gece!F4</f>
        <v>75.2</v>
      </c>
    </row>
    <row r="44" spans="1:10" ht="15" customHeight="1" x14ac:dyDescent="0.25">
      <c r="A44" s="60"/>
      <c r="B44" s="141">
        <f>Gece!A5</f>
        <v>4</v>
      </c>
      <c r="C44" s="142" t="str">
        <f>Gece!B5</f>
        <v>Çevre Ölçüm Noktası 1</v>
      </c>
      <c r="D44" s="143" t="str">
        <f>Gece!D5</f>
        <v>23:49:30</v>
      </c>
      <c r="E44" s="143" t="str">
        <f>Gece!E5</f>
        <v>23:55:13</v>
      </c>
      <c r="F44" s="143">
        <f>Gece!K5</f>
        <v>52</v>
      </c>
      <c r="G44" s="143">
        <f>Gece!N5</f>
        <v>0</v>
      </c>
      <c r="H44" s="143">
        <f>Gece!O5</f>
        <v>0</v>
      </c>
      <c r="I44" s="143">
        <f>Gece!L5</f>
        <v>60.8</v>
      </c>
      <c r="J44" s="114">
        <f>Gece!F5</f>
        <v>69.599999999999994</v>
      </c>
    </row>
    <row r="45" spans="1:10" x14ac:dyDescent="0.25">
      <c r="A45" s="60"/>
      <c r="B45" s="141">
        <f>Gece!A6</f>
        <v>5</v>
      </c>
      <c r="C45" s="142" t="str">
        <f>Gece!B6</f>
        <v>Çevre Ölçüm Noktası 2</v>
      </c>
      <c r="D45" s="143" t="str">
        <f>Gece!D6</f>
        <v>19:52:45</v>
      </c>
      <c r="E45" s="143" t="str">
        <f>Gece!E6</f>
        <v>19:57:58</v>
      </c>
      <c r="F45" s="143">
        <f>Gece!K6</f>
        <v>58.7</v>
      </c>
      <c r="G45" s="143">
        <f>Gece!N6</f>
        <v>0</v>
      </c>
      <c r="H45" s="143">
        <f>Gece!O6</f>
        <v>0</v>
      </c>
      <c r="I45" s="143">
        <f>Gece!L6</f>
        <v>65.3</v>
      </c>
      <c r="J45" s="114">
        <f>Gece!F6</f>
        <v>75</v>
      </c>
    </row>
    <row r="46" spans="1:10" ht="15.75" thickBot="1" x14ac:dyDescent="0.3">
      <c r="A46" s="61"/>
      <c r="B46" s="144">
        <f>Gece!A7</f>
        <v>6</v>
      </c>
      <c r="C46" s="145" t="str">
        <f>Gece!B7</f>
        <v>Çevre Ölçüm Noktası 3</v>
      </c>
      <c r="D46" s="146" t="str">
        <f>Gece!D7</f>
        <v>20:07:16</v>
      </c>
      <c r="E46" s="146" t="str">
        <f>Gece!E7</f>
        <v>20:12:16</v>
      </c>
      <c r="F46" s="146">
        <f>Gece!K7</f>
        <v>58.1</v>
      </c>
      <c r="G46" s="146">
        <f>Gece!N7</f>
        <v>0</v>
      </c>
      <c r="H46" s="146">
        <f>Gece!O7</f>
        <v>0</v>
      </c>
      <c r="I46" s="146">
        <f>Gece!L7</f>
        <v>65.099999999999994</v>
      </c>
      <c r="J46" s="147">
        <f>Gece!F7</f>
        <v>75.599999999999994</v>
      </c>
    </row>
  </sheetData>
  <mergeCells count="33">
    <mergeCell ref="A41:A46"/>
    <mergeCell ref="F37:H38"/>
    <mergeCell ref="I37:J38"/>
    <mergeCell ref="A40:J40"/>
    <mergeCell ref="A7:A12"/>
    <mergeCell ref="A24:A29"/>
    <mergeCell ref="I20:J21"/>
    <mergeCell ref="A23:J23"/>
    <mergeCell ref="A35:J35"/>
    <mergeCell ref="A36:A39"/>
    <mergeCell ref="B36:B39"/>
    <mergeCell ref="C36:C39"/>
    <mergeCell ref="D36:D39"/>
    <mergeCell ref="E36:E39"/>
    <mergeCell ref="F36:J36"/>
    <mergeCell ref="E2:E5"/>
    <mergeCell ref="A18:J18"/>
    <mergeCell ref="A19:A22"/>
    <mergeCell ref="B19:B22"/>
    <mergeCell ref="C19:C22"/>
    <mergeCell ref="D19:D22"/>
    <mergeCell ref="E19:E22"/>
    <mergeCell ref="F19:J19"/>
    <mergeCell ref="F20:H21"/>
    <mergeCell ref="A1:J1"/>
    <mergeCell ref="F2:J2"/>
    <mergeCell ref="F3:H4"/>
    <mergeCell ref="I3:J4"/>
    <mergeCell ref="A6:J6"/>
    <mergeCell ref="A2:A5"/>
    <mergeCell ref="B2:B5"/>
    <mergeCell ref="C2:C5"/>
    <mergeCell ref="D2:D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9755-A493-44F8-ADDA-C1F8CCBD4F4D}">
  <dimension ref="A1:J37"/>
  <sheetViews>
    <sheetView topLeftCell="A12" workbookViewId="0">
      <selection activeCell="O33" sqref="O33"/>
    </sheetView>
  </sheetViews>
  <sheetFormatPr defaultRowHeight="15" x14ac:dyDescent="0.25"/>
  <cols>
    <col min="1" max="1" width="22.28515625" customWidth="1"/>
    <col min="3" max="3" width="32.5703125" bestFit="1" customWidth="1"/>
  </cols>
  <sheetData>
    <row r="1" spans="1:10" ht="15.75" thickBot="1" x14ac:dyDescent="0.3">
      <c r="A1" s="15" t="s">
        <v>14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ht="15.75" thickBot="1" x14ac:dyDescent="0.3">
      <c r="A2" s="52" t="s">
        <v>18</v>
      </c>
      <c r="B2" s="44" t="s">
        <v>19</v>
      </c>
      <c r="C2" s="52" t="s">
        <v>20</v>
      </c>
      <c r="D2" s="44" t="s">
        <v>21</v>
      </c>
      <c r="E2" s="52" t="s">
        <v>22</v>
      </c>
      <c r="F2" s="15" t="s">
        <v>15</v>
      </c>
      <c r="G2" s="16"/>
      <c r="H2" s="16"/>
      <c r="I2" s="16"/>
      <c r="J2" s="17"/>
    </row>
    <row r="3" spans="1:10" x14ac:dyDescent="0.25">
      <c r="A3" s="53"/>
      <c r="B3" s="50"/>
      <c r="C3" s="53"/>
      <c r="D3" s="50"/>
      <c r="E3" s="53"/>
      <c r="F3" s="9" t="s">
        <v>16</v>
      </c>
      <c r="G3" s="10"/>
      <c r="H3" s="11"/>
      <c r="I3" s="9" t="s">
        <v>17</v>
      </c>
      <c r="J3" s="11"/>
    </row>
    <row r="4" spans="1:10" ht="15.75" thickBot="1" x14ac:dyDescent="0.3">
      <c r="A4" s="53"/>
      <c r="B4" s="50"/>
      <c r="C4" s="53"/>
      <c r="D4" s="50"/>
      <c r="E4" s="53"/>
      <c r="F4" s="36"/>
      <c r="G4" s="37"/>
      <c r="H4" s="38"/>
      <c r="I4" s="36"/>
      <c r="J4" s="38"/>
    </row>
    <row r="5" spans="1:10" ht="15.75" thickBot="1" x14ac:dyDescent="0.3">
      <c r="A5" s="54"/>
      <c r="B5" s="43"/>
      <c r="C5" s="54"/>
      <c r="D5" s="43"/>
      <c r="E5" s="54"/>
      <c r="F5" s="34" t="s">
        <v>23</v>
      </c>
      <c r="G5" s="39" t="s">
        <v>24</v>
      </c>
      <c r="H5" s="34" t="s">
        <v>25</v>
      </c>
      <c r="I5" s="39" t="s">
        <v>23</v>
      </c>
      <c r="J5" s="35" t="s">
        <v>26</v>
      </c>
    </row>
    <row r="6" spans="1:10" ht="15.75" customHeight="1" thickBot="1" x14ac:dyDescent="0.3">
      <c r="A6" s="24" t="s">
        <v>30</v>
      </c>
      <c r="B6" s="25"/>
      <c r="C6" s="25"/>
      <c r="D6" s="25"/>
      <c r="E6" s="25"/>
      <c r="F6" s="25"/>
      <c r="G6" s="25"/>
      <c r="H6" s="25"/>
      <c r="I6" s="25"/>
      <c r="J6" s="26"/>
    </row>
    <row r="7" spans="1:10" ht="15" customHeight="1" x14ac:dyDescent="0.25">
      <c r="A7" s="56" t="s">
        <v>33</v>
      </c>
      <c r="B7" s="137">
        <f>'Gündüz Arka Plan'!A2</f>
        <v>4</v>
      </c>
      <c r="C7" s="138" t="str">
        <f>'Gündüz Arka Plan'!B2</f>
        <v>Çevre Ölçüm Noktası 1 [ARKA PLAN]</v>
      </c>
      <c r="D7" s="139" t="str">
        <f>'Gündüz Arka Plan'!D2</f>
        <v>17:53:07</v>
      </c>
      <c r="E7" s="139" t="str">
        <f>'Gündüz Arka Plan'!E2</f>
        <v>17:58:07</v>
      </c>
      <c r="F7" s="139">
        <f>'Gündüz Arka Plan'!K2</f>
        <v>57.2</v>
      </c>
      <c r="G7" s="139">
        <f>'Gündüz Arka Plan'!N2</f>
        <v>0</v>
      </c>
      <c r="H7" s="139">
        <f>'Gündüz Arka Plan'!O2</f>
        <v>0</v>
      </c>
      <c r="I7" s="139">
        <f>'Gündüz Arka Plan'!L2</f>
        <v>64.3</v>
      </c>
      <c r="J7" s="140">
        <f>'Gündüz Arka Plan'!F2</f>
        <v>73.8</v>
      </c>
    </row>
    <row r="8" spans="1:10" x14ac:dyDescent="0.25">
      <c r="A8" s="57"/>
      <c r="B8" s="141">
        <f>'Gündüz Arka Plan'!A3</f>
        <v>5</v>
      </c>
      <c r="C8" s="142" t="str">
        <f>'Gündüz Arka Plan'!B3</f>
        <v>Çevre Ölçüm Noktası 2 [ARKA PLAN]</v>
      </c>
      <c r="D8" s="143" t="str">
        <f>'Gündüz Arka Plan'!D3</f>
        <v>17:39:16</v>
      </c>
      <c r="E8" s="143" t="str">
        <f>'Gündüz Arka Plan'!E3</f>
        <v>17:44:16</v>
      </c>
      <c r="F8" s="143">
        <f>'Gündüz Arka Plan'!K3</f>
        <v>62.4</v>
      </c>
      <c r="G8" s="143">
        <f>'Gündüz Arka Plan'!N3</f>
        <v>0</v>
      </c>
      <c r="H8" s="143">
        <f>'Gündüz Arka Plan'!O3</f>
        <v>0</v>
      </c>
      <c r="I8" s="143">
        <f>'Gündüz Arka Plan'!L3</f>
        <v>67.5</v>
      </c>
      <c r="J8" s="114">
        <f>'Gündüz Arka Plan'!F3</f>
        <v>78.2</v>
      </c>
    </row>
    <row r="9" spans="1:10" ht="15.75" thickBot="1" x14ac:dyDescent="0.3">
      <c r="A9" s="58"/>
      <c r="B9" s="144">
        <f>'Gündüz Arka Plan'!A4</f>
        <v>6</v>
      </c>
      <c r="C9" s="145" t="str">
        <f>'Gündüz Arka Plan'!B4</f>
        <v>Çevre Ölçüm Noktası 3 [ARKA PLAN]</v>
      </c>
      <c r="D9" s="146" t="str">
        <f>'Gündüz Arka Plan'!D4</f>
        <v>17:53:07</v>
      </c>
      <c r="E9" s="146" t="str">
        <f>'Gündüz Arka Plan'!E4</f>
        <v>17:58:07</v>
      </c>
      <c r="F9" s="146">
        <f>'Gündüz Arka Plan'!K4</f>
        <v>57.2</v>
      </c>
      <c r="G9" s="146">
        <f>'Gündüz Arka Plan'!N4</f>
        <v>0</v>
      </c>
      <c r="H9" s="146">
        <f>'Gündüz Arka Plan'!O4</f>
        <v>0</v>
      </c>
      <c r="I9" s="146">
        <f>'Gündüz Arka Plan'!L4</f>
        <v>64.3</v>
      </c>
      <c r="J9" s="147">
        <f>'Gündüz Arka Plan'!F4</f>
        <v>73.8</v>
      </c>
    </row>
    <row r="14" spans="1:10" ht="15.75" thickBot="1" x14ac:dyDescent="0.3"/>
    <row r="15" spans="1:10" ht="15.75" thickBot="1" x14ac:dyDescent="0.3">
      <c r="A15" s="15" t="s">
        <v>14</v>
      </c>
      <c r="B15" s="16"/>
      <c r="C15" s="16"/>
      <c r="D15" s="16"/>
      <c r="E15" s="16"/>
      <c r="F15" s="16"/>
      <c r="G15" s="16"/>
      <c r="H15" s="16"/>
      <c r="I15" s="16"/>
      <c r="J15" s="17"/>
    </row>
    <row r="16" spans="1:10" ht="15.75" thickBot="1" x14ac:dyDescent="0.3">
      <c r="A16" s="52" t="s">
        <v>18</v>
      </c>
      <c r="B16" s="44" t="s">
        <v>19</v>
      </c>
      <c r="C16" s="52" t="s">
        <v>20</v>
      </c>
      <c r="D16" s="44" t="s">
        <v>21</v>
      </c>
      <c r="E16" s="52" t="s">
        <v>22</v>
      </c>
      <c r="F16" s="18" t="s">
        <v>15</v>
      </c>
      <c r="G16" s="4"/>
      <c r="H16" s="4"/>
      <c r="I16" s="4"/>
      <c r="J16" s="32"/>
    </row>
    <row r="17" spans="1:10" x14ac:dyDescent="0.25">
      <c r="A17" s="53"/>
      <c r="B17" s="50"/>
      <c r="C17" s="53"/>
      <c r="D17" s="50"/>
      <c r="E17" s="53"/>
      <c r="F17" s="9" t="s">
        <v>16</v>
      </c>
      <c r="G17" s="10"/>
      <c r="H17" s="11"/>
      <c r="I17" s="9" t="s">
        <v>17</v>
      </c>
      <c r="J17" s="11"/>
    </row>
    <row r="18" spans="1:10" ht="15.75" thickBot="1" x14ac:dyDescent="0.3">
      <c r="A18" s="53"/>
      <c r="B18" s="50"/>
      <c r="C18" s="53"/>
      <c r="D18" s="50"/>
      <c r="E18" s="53"/>
      <c r="F18" s="36"/>
      <c r="G18" s="37"/>
      <c r="H18" s="38"/>
      <c r="I18" s="36"/>
      <c r="J18" s="38"/>
    </row>
    <row r="19" spans="1:10" ht="15.75" thickBot="1" x14ac:dyDescent="0.3">
      <c r="A19" s="54"/>
      <c r="B19" s="50"/>
      <c r="C19" s="54"/>
      <c r="D19" s="50"/>
      <c r="E19" s="54"/>
      <c r="F19" s="46" t="s">
        <v>23</v>
      </c>
      <c r="G19" s="39" t="s">
        <v>24</v>
      </c>
      <c r="H19" s="46" t="s">
        <v>25</v>
      </c>
      <c r="I19" s="39" t="s">
        <v>23</v>
      </c>
      <c r="J19" s="47" t="s">
        <v>26</v>
      </c>
    </row>
    <row r="20" spans="1:10" ht="15" customHeight="1" thickBot="1" x14ac:dyDescent="0.3">
      <c r="A20" s="55" t="s">
        <v>31</v>
      </c>
      <c r="B20" s="6"/>
      <c r="C20" s="51"/>
      <c r="D20" s="6"/>
      <c r="E20" s="51"/>
      <c r="F20" s="6"/>
      <c r="G20" s="51"/>
      <c r="H20" s="6"/>
      <c r="I20" s="51"/>
      <c r="J20" s="7"/>
    </row>
    <row r="21" spans="1:10" ht="15" customHeight="1" x14ac:dyDescent="0.25">
      <c r="A21" s="56" t="s">
        <v>33</v>
      </c>
      <c r="B21" s="137">
        <f>'Akşam Arka Plan'!A2</f>
        <v>4</v>
      </c>
      <c r="C21" s="138" t="str">
        <f>'Akşam Arka Plan'!B2</f>
        <v>Çevre Ölçüm Noktası 1 [ARKA PLAN]</v>
      </c>
      <c r="D21" s="139" t="str">
        <f>'Akşam Arka Plan'!D2</f>
        <v>19:52:45</v>
      </c>
      <c r="E21" s="139" t="str">
        <f>'Akşam Arka Plan'!E2</f>
        <v>19:57:58</v>
      </c>
      <c r="F21" s="139">
        <f>'Akşam Arka Plan'!K2</f>
        <v>58.7</v>
      </c>
      <c r="G21" s="139">
        <f>'Akşam Arka Plan'!N2</f>
        <v>0</v>
      </c>
      <c r="H21" s="139">
        <f>'Akşam Arka Plan'!O2</f>
        <v>0</v>
      </c>
      <c r="I21" s="139">
        <f>'Akşam Arka Plan'!L2</f>
        <v>65.3</v>
      </c>
      <c r="J21" s="140">
        <f>'Akşam Arka Plan'!F2</f>
        <v>75</v>
      </c>
    </row>
    <row r="22" spans="1:10" x14ac:dyDescent="0.25">
      <c r="A22" s="57"/>
      <c r="B22" s="150">
        <f>'Akşam Arka Plan'!A3</f>
        <v>5</v>
      </c>
      <c r="C22" s="148" t="str">
        <f>'Akşam Arka Plan'!B3</f>
        <v>Çevre Ölçüm Noktası 2 [ARKA PLAN]</v>
      </c>
      <c r="D22" s="149" t="str">
        <f>'Akşam Arka Plan'!D3</f>
        <v>19:18:35</v>
      </c>
      <c r="E22" s="149" t="str">
        <f>'Akşam Arka Plan'!E3</f>
        <v>19:23:35</v>
      </c>
      <c r="F22" s="149">
        <f>'Akşam Arka Plan'!K3</f>
        <v>58.4</v>
      </c>
      <c r="G22" s="149">
        <f>'Akşam Arka Plan'!N3</f>
        <v>0</v>
      </c>
      <c r="H22" s="149">
        <f>'Akşam Arka Plan'!O3</f>
        <v>0</v>
      </c>
      <c r="I22" s="149">
        <f>'Akşam Arka Plan'!L3</f>
        <v>65.8</v>
      </c>
      <c r="J22" s="115">
        <f>'Akşam Arka Plan'!F3</f>
        <v>86.7</v>
      </c>
    </row>
    <row r="23" spans="1:10" ht="15.75" thickBot="1" x14ac:dyDescent="0.3">
      <c r="A23" s="58"/>
      <c r="B23" s="151">
        <f>'Akşam Arka Plan'!A4</f>
        <v>6</v>
      </c>
      <c r="C23" s="152" t="str">
        <f>'Akşam Arka Plan'!B4</f>
        <v>Çevre Ölçüm Noktası 3 [ARKA PLAN]</v>
      </c>
      <c r="D23" s="153" t="str">
        <f>'Akşam Arka Plan'!D4</f>
        <v>19:23:56</v>
      </c>
      <c r="E23" s="153" t="str">
        <f>'Akşam Arka Plan'!E4</f>
        <v>19:29:07</v>
      </c>
      <c r="F23" s="153">
        <f>'Akşam Arka Plan'!K4</f>
        <v>60.6</v>
      </c>
      <c r="G23" s="153">
        <f>'Akşam Arka Plan'!N4</f>
        <v>0</v>
      </c>
      <c r="H23" s="153">
        <f>'Akşam Arka Plan'!O4</f>
        <v>0</v>
      </c>
      <c r="I23" s="153">
        <f>'Akşam Arka Plan'!L4</f>
        <v>67.400000000000006</v>
      </c>
      <c r="J23" s="117">
        <f>'Akşam Arka Plan'!F4</f>
        <v>91</v>
      </c>
    </row>
    <row r="28" spans="1:10" ht="15.75" thickBot="1" x14ac:dyDescent="0.3"/>
    <row r="29" spans="1:10" ht="15.75" thickBot="1" x14ac:dyDescent="0.3">
      <c r="A29" s="15" t="s">
        <v>14</v>
      </c>
      <c r="B29" s="16"/>
      <c r="C29" s="16"/>
      <c r="D29" s="16"/>
      <c r="E29" s="16"/>
      <c r="F29" s="16"/>
      <c r="G29" s="16"/>
      <c r="H29" s="16"/>
      <c r="I29" s="16"/>
      <c r="J29" s="17"/>
    </row>
    <row r="30" spans="1:10" ht="15.75" thickBot="1" x14ac:dyDescent="0.3">
      <c r="A30" s="41" t="s">
        <v>18</v>
      </c>
      <c r="B30" s="52" t="s">
        <v>19</v>
      </c>
      <c r="C30" s="44" t="s">
        <v>20</v>
      </c>
      <c r="D30" s="52" t="s">
        <v>21</v>
      </c>
      <c r="E30" s="52" t="s">
        <v>22</v>
      </c>
      <c r="F30" s="18" t="s">
        <v>15</v>
      </c>
      <c r="G30" s="4"/>
      <c r="H30" s="4"/>
      <c r="I30" s="4"/>
      <c r="J30" s="32"/>
    </row>
    <row r="31" spans="1:10" x14ac:dyDescent="0.25">
      <c r="A31" s="49"/>
      <c r="B31" s="53"/>
      <c r="C31" s="50"/>
      <c r="D31" s="53"/>
      <c r="E31" s="53"/>
      <c r="F31" s="9" t="s">
        <v>16</v>
      </c>
      <c r="G31" s="10"/>
      <c r="H31" s="11"/>
      <c r="I31" s="9" t="s">
        <v>17</v>
      </c>
      <c r="J31" s="11"/>
    </row>
    <row r="32" spans="1:10" ht="15.75" thickBot="1" x14ac:dyDescent="0.3">
      <c r="A32" s="49"/>
      <c r="B32" s="53"/>
      <c r="C32" s="50"/>
      <c r="D32" s="53"/>
      <c r="E32" s="53"/>
      <c r="F32" s="36"/>
      <c r="G32" s="37"/>
      <c r="H32" s="38"/>
      <c r="I32" s="36"/>
      <c r="J32" s="38"/>
    </row>
    <row r="33" spans="1:10" ht="15.75" thickBot="1" x14ac:dyDescent="0.3">
      <c r="A33" s="49"/>
      <c r="B33" s="54"/>
      <c r="C33" s="50"/>
      <c r="D33" s="54"/>
      <c r="E33" s="54"/>
      <c r="F33" s="46" t="s">
        <v>23</v>
      </c>
      <c r="G33" s="39" t="s">
        <v>24</v>
      </c>
      <c r="H33" s="46" t="s">
        <v>25</v>
      </c>
      <c r="I33" s="39" t="s">
        <v>23</v>
      </c>
      <c r="J33" s="47" t="s">
        <v>26</v>
      </c>
    </row>
    <row r="34" spans="1:10" ht="15" customHeight="1" thickBot="1" x14ac:dyDescent="0.3">
      <c r="A34" s="8" t="s">
        <v>32</v>
      </c>
      <c r="B34" s="51"/>
      <c r="C34" s="6"/>
      <c r="D34" s="51"/>
      <c r="E34" s="51"/>
      <c r="F34" s="6"/>
      <c r="G34" s="51"/>
      <c r="H34" s="6"/>
      <c r="I34" s="51"/>
      <c r="J34" s="7"/>
    </row>
    <row r="35" spans="1:10" ht="15" customHeight="1" x14ac:dyDescent="0.25">
      <c r="A35" s="56" t="s">
        <v>33</v>
      </c>
      <c r="B35" s="137">
        <f>'Gece Arka Plan'!A2</f>
        <v>4</v>
      </c>
      <c r="C35" s="138" t="str">
        <f>'Gece Arka Plan'!B2</f>
        <v>Çevre Ölçüm Noktası 1 [ARKA PLAN]</v>
      </c>
      <c r="D35" s="139" t="str">
        <f>'Gece Arka Plan'!D2</f>
        <v>23:44:07</v>
      </c>
      <c r="E35" s="139" t="str">
        <f>'Gece Arka Plan'!E2</f>
        <v>23:49:19</v>
      </c>
      <c r="F35" s="139">
        <f>'Gece Arka Plan'!K2</f>
        <v>51.1</v>
      </c>
      <c r="G35" s="139">
        <f>'Gece Arka Plan'!N2</f>
        <v>0</v>
      </c>
      <c r="H35" s="139">
        <f>'Gece Arka Plan'!O2</f>
        <v>0</v>
      </c>
      <c r="I35" s="139">
        <f>'Gece Arka Plan'!L2</f>
        <v>54.8</v>
      </c>
      <c r="J35" s="140">
        <f>'Gece Arka Plan'!F2</f>
        <v>67.400000000000006</v>
      </c>
    </row>
    <row r="36" spans="1:10" x14ac:dyDescent="0.25">
      <c r="A36" s="57"/>
      <c r="B36" s="150">
        <f>'Gece Arka Plan'!A3</f>
        <v>5</v>
      </c>
      <c r="C36" s="148" t="str">
        <f>'Gece Arka Plan'!B3</f>
        <v>Çevre Ölçüm Noktası 2 [ARKA PLAN]</v>
      </c>
      <c r="D36" s="149" t="str">
        <f>'Gece Arka Plan'!D3</f>
        <v>20:00:26</v>
      </c>
      <c r="E36" s="149" t="str">
        <f>'Gece Arka Plan'!E3</f>
        <v>20:07:00</v>
      </c>
      <c r="F36" s="149">
        <f>'Gece Arka Plan'!K3</f>
        <v>57.7</v>
      </c>
      <c r="G36" s="149">
        <f>'Gece Arka Plan'!N3</f>
        <v>0</v>
      </c>
      <c r="H36" s="149">
        <f>'Gece Arka Plan'!O3</f>
        <v>0</v>
      </c>
      <c r="I36" s="149">
        <f>'Gece Arka Plan'!L3</f>
        <v>65.8</v>
      </c>
      <c r="J36" s="115">
        <f>'Gece Arka Plan'!F3</f>
        <v>84.6</v>
      </c>
    </row>
    <row r="37" spans="1:10" ht="15.75" thickBot="1" x14ac:dyDescent="0.3">
      <c r="A37" s="58"/>
      <c r="B37" s="151">
        <f>'Gece Arka Plan'!A4</f>
        <v>6</v>
      </c>
      <c r="C37" s="152" t="str">
        <f>'Gece Arka Plan'!B4</f>
        <v>Çevre Ölçüm Noktası 3 [ARKA PLAN]</v>
      </c>
      <c r="D37" s="153" t="str">
        <f>'Gece Arka Plan'!D4</f>
        <v>20:14:28</v>
      </c>
      <c r="E37" s="153" t="str">
        <f>'Gece Arka Plan'!E4</f>
        <v>20:19:28</v>
      </c>
      <c r="F37" s="153">
        <f>'Gece Arka Plan'!K4</f>
        <v>55.6</v>
      </c>
      <c r="G37" s="153">
        <f>'Gece Arka Plan'!N4</f>
        <v>0</v>
      </c>
      <c r="H37" s="153">
        <f>'Gece Arka Plan'!O4</f>
        <v>0</v>
      </c>
      <c r="I37" s="153">
        <f>'Gece Arka Plan'!L4</f>
        <v>63.4</v>
      </c>
      <c r="J37" s="117">
        <f>'Gece Arka Plan'!F4</f>
        <v>73.099999999999994</v>
      </c>
    </row>
  </sheetData>
  <mergeCells count="33">
    <mergeCell ref="F30:J30"/>
    <mergeCell ref="F31:H32"/>
    <mergeCell ref="I31:J32"/>
    <mergeCell ref="A34:J34"/>
    <mergeCell ref="A35:A37"/>
    <mergeCell ref="F17:H18"/>
    <mergeCell ref="I17:J18"/>
    <mergeCell ref="A20:J20"/>
    <mergeCell ref="A21:A23"/>
    <mergeCell ref="A29:J29"/>
    <mergeCell ref="A30:A33"/>
    <mergeCell ref="B30:B33"/>
    <mergeCell ref="C30:C33"/>
    <mergeCell ref="D30:D33"/>
    <mergeCell ref="E30:E33"/>
    <mergeCell ref="A6:J6"/>
    <mergeCell ref="A7:A9"/>
    <mergeCell ref="A15:J15"/>
    <mergeCell ref="A16:A19"/>
    <mergeCell ref="B16:B19"/>
    <mergeCell ref="C16:C19"/>
    <mergeCell ref="D16:D19"/>
    <mergeCell ref="E16:E19"/>
    <mergeCell ref="F16:J16"/>
    <mergeCell ref="A1:J1"/>
    <mergeCell ref="A2:A5"/>
    <mergeCell ref="B2:B5"/>
    <mergeCell ref="C2:C5"/>
    <mergeCell ref="D2:D5"/>
    <mergeCell ref="E2:E5"/>
    <mergeCell ref="F2:J2"/>
    <mergeCell ref="F3:H4"/>
    <mergeCell ref="I3:J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ACAC7-D9ED-43FD-B423-29B0526ECCA5}">
  <dimension ref="A1:F22"/>
  <sheetViews>
    <sheetView workbookViewId="0">
      <selection activeCell="I13" sqref="I13"/>
    </sheetView>
  </sheetViews>
  <sheetFormatPr defaultRowHeight="15" x14ac:dyDescent="0.25"/>
  <cols>
    <col min="1" max="1" width="7.28515625" bestFit="1" customWidth="1"/>
    <col min="2" max="2" width="26.140625" bestFit="1" customWidth="1"/>
    <col min="3" max="3" width="13.7109375" customWidth="1"/>
    <col min="4" max="5" width="11.5703125" customWidth="1"/>
    <col min="6" max="6" width="12.7109375" customWidth="1"/>
  </cols>
  <sheetData>
    <row r="1" spans="1:6" ht="26.25" thickBot="1" x14ac:dyDescent="0.3">
      <c r="A1" s="62" t="s">
        <v>19</v>
      </c>
      <c r="B1" s="163" t="s">
        <v>20</v>
      </c>
      <c r="C1" s="63" t="s">
        <v>35</v>
      </c>
      <c r="D1" s="164" t="s">
        <v>36</v>
      </c>
      <c r="E1" s="63" t="s">
        <v>37</v>
      </c>
      <c r="F1" s="164" t="s">
        <v>38</v>
      </c>
    </row>
    <row r="2" spans="1:6" ht="15.75" thickBot="1" x14ac:dyDescent="0.3">
      <c r="A2" s="64" t="s">
        <v>39</v>
      </c>
      <c r="B2" s="65"/>
      <c r="C2" s="65"/>
      <c r="D2" s="65"/>
      <c r="E2" s="65"/>
      <c r="F2" s="66"/>
    </row>
    <row r="3" spans="1:6" x14ac:dyDescent="0.25">
      <c r="A3" s="165">
        <f>Gündüz!A2</f>
        <v>1</v>
      </c>
      <c r="B3" s="154" t="str">
        <f>Gündüz!B2</f>
        <v>İşletme İçi 1. Ölçüm Noktası</v>
      </c>
      <c r="C3" s="154">
        <f>Gündüz!G2</f>
        <v>75.8</v>
      </c>
      <c r="D3" s="154">
        <f>Gündüz!I2</f>
        <v>78</v>
      </c>
      <c r="E3" s="154">
        <f>D3-C3</f>
        <v>2.2000000000000028</v>
      </c>
      <c r="F3" s="155">
        <f>E3-2</f>
        <v>0.20000000000000284</v>
      </c>
    </row>
    <row r="4" spans="1:6" x14ac:dyDescent="0.25">
      <c r="A4" s="157">
        <f>Gündüz!A3</f>
        <v>2</v>
      </c>
      <c r="B4" s="156" t="str">
        <f>Gündüz!B3</f>
        <v>İşletme İçi 2. Ölçüm Noktası</v>
      </c>
      <c r="C4" s="154">
        <f>Gündüz!G3</f>
        <v>73</v>
      </c>
      <c r="D4" s="154">
        <f>Gündüz!I3</f>
        <v>75.8</v>
      </c>
      <c r="E4" s="154">
        <f t="shared" ref="E4:E8" si="0">D4-C4</f>
        <v>2.7999999999999972</v>
      </c>
      <c r="F4" s="155">
        <f t="shared" ref="F4:F8" si="1">E4-2</f>
        <v>0.79999999999999716</v>
      </c>
    </row>
    <row r="5" spans="1:6" x14ac:dyDescent="0.25">
      <c r="A5" s="157">
        <f>Gündüz!A4</f>
        <v>3</v>
      </c>
      <c r="B5" s="156" t="str">
        <f>Gündüz!B4</f>
        <v>İşletme İçi 3. Ölçüm Noktası</v>
      </c>
      <c r="C5" s="154">
        <f>Gündüz!G4</f>
        <v>78.599999999999994</v>
      </c>
      <c r="D5" s="154">
        <f>Gündüz!I4</f>
        <v>81.900000000000006</v>
      </c>
      <c r="E5" s="154">
        <f t="shared" si="0"/>
        <v>3.3000000000000114</v>
      </c>
      <c r="F5" s="155">
        <f t="shared" si="1"/>
        <v>1.3000000000000114</v>
      </c>
    </row>
    <row r="6" spans="1:6" x14ac:dyDescent="0.25">
      <c r="A6" s="157">
        <f>Gündüz!A5</f>
        <v>4</v>
      </c>
      <c r="B6" s="156" t="str">
        <f>Gündüz!B5</f>
        <v>Çevre Ölçüm Noktası 1</v>
      </c>
      <c r="C6" s="154">
        <f>Gündüz!G5</f>
        <v>72.7</v>
      </c>
      <c r="D6" s="154">
        <f>Gündüz!I5</f>
        <v>74.099999999999994</v>
      </c>
      <c r="E6" s="154">
        <f t="shared" si="0"/>
        <v>1.3999999999999915</v>
      </c>
      <c r="F6" s="155">
        <f t="shared" si="1"/>
        <v>-0.60000000000000853</v>
      </c>
    </row>
    <row r="7" spans="1:6" x14ac:dyDescent="0.25">
      <c r="A7" s="157">
        <f>Gündüz!A6</f>
        <v>5</v>
      </c>
      <c r="B7" s="156" t="str">
        <f>Gündüz!B6</f>
        <v>Çevre Ölçüm Noktası 2</v>
      </c>
      <c r="C7" s="154">
        <f>Gündüz!G6</f>
        <v>81.7</v>
      </c>
      <c r="D7" s="154">
        <f>Gündüz!I6</f>
        <v>85.8</v>
      </c>
      <c r="E7" s="154">
        <f t="shared" si="0"/>
        <v>4.0999999999999943</v>
      </c>
      <c r="F7" s="155">
        <f t="shared" si="1"/>
        <v>2.0999999999999943</v>
      </c>
    </row>
    <row r="8" spans="1:6" ht="15.75" thickBot="1" x14ac:dyDescent="0.3">
      <c r="A8" s="158">
        <f>Gündüz!A7</f>
        <v>6</v>
      </c>
      <c r="B8" s="159" t="str">
        <f>Gündüz!B7</f>
        <v>Çevre Ölçüm Noktası 3</v>
      </c>
      <c r="C8" s="161">
        <f>Gündüz!G7</f>
        <v>76.900000000000006</v>
      </c>
      <c r="D8" s="161">
        <f>Gündüz!I7</f>
        <v>80.8</v>
      </c>
      <c r="E8" s="161">
        <f t="shared" si="0"/>
        <v>3.8999999999999915</v>
      </c>
      <c r="F8" s="162">
        <f t="shared" si="1"/>
        <v>1.8999999999999915</v>
      </c>
    </row>
    <row r="9" spans="1:6" ht="15.75" thickBot="1" x14ac:dyDescent="0.3">
      <c r="A9" s="72" t="s">
        <v>40</v>
      </c>
      <c r="B9" s="73"/>
      <c r="C9" s="73"/>
      <c r="D9" s="73"/>
      <c r="E9" s="73"/>
      <c r="F9" s="74"/>
    </row>
    <row r="10" spans="1:6" x14ac:dyDescent="0.25">
      <c r="A10" s="165">
        <f>Akşam!A2</f>
        <v>1</v>
      </c>
      <c r="B10" s="154" t="str">
        <f>Akşam!B2</f>
        <v>İşletme İçi 1. Ölçüm Noktası</v>
      </c>
      <c r="C10" s="143">
        <f>Akşam!G2</f>
        <v>74</v>
      </c>
      <c r="D10" s="143">
        <f>Akşam!I2</f>
        <v>76.400000000000006</v>
      </c>
      <c r="E10" s="143">
        <f>D10-C10</f>
        <v>2.4000000000000057</v>
      </c>
      <c r="F10" s="114">
        <f>E10-2</f>
        <v>0.40000000000000568</v>
      </c>
    </row>
    <row r="11" spans="1:6" x14ac:dyDescent="0.25">
      <c r="A11" s="157">
        <f>Akşam!A3</f>
        <v>2</v>
      </c>
      <c r="B11" s="156" t="str">
        <f>Akşam!B3</f>
        <v>İşletme İçi 2. Ölçüm Noktası</v>
      </c>
      <c r="C11" s="149">
        <f>Akşam!G3</f>
        <v>66.099999999999994</v>
      </c>
      <c r="D11" s="149">
        <f>Akşam!I3</f>
        <v>67.900000000000006</v>
      </c>
      <c r="E11" s="149">
        <f t="shared" ref="E11:E15" si="2">D11-C11</f>
        <v>1.8000000000000114</v>
      </c>
      <c r="F11" s="115">
        <f t="shared" ref="F11:F15" si="3">E11-2</f>
        <v>-0.19999999999998863</v>
      </c>
    </row>
    <row r="12" spans="1:6" x14ac:dyDescent="0.25">
      <c r="A12" s="157">
        <f>Akşam!A4</f>
        <v>3</v>
      </c>
      <c r="B12" s="156" t="str">
        <f>Akşam!B4</f>
        <v>İşletme İçi 3. Ölçüm Noktası</v>
      </c>
      <c r="C12" s="149">
        <f>Akşam!G4</f>
        <v>67.3</v>
      </c>
      <c r="D12" s="149">
        <f>Akşam!I4</f>
        <v>70.7</v>
      </c>
      <c r="E12" s="149">
        <f t="shared" si="2"/>
        <v>3.4000000000000057</v>
      </c>
      <c r="F12" s="115">
        <f t="shared" si="3"/>
        <v>1.4000000000000057</v>
      </c>
    </row>
    <row r="13" spans="1:6" x14ac:dyDescent="0.25">
      <c r="A13" s="157">
        <f>Akşam!A5</f>
        <v>4</v>
      </c>
      <c r="B13" s="156" t="str">
        <f>Akşam!B5</f>
        <v>Çevre Ölçüm Noktası 1</v>
      </c>
      <c r="C13" s="149">
        <f>Akşam!G5</f>
        <v>74.099999999999994</v>
      </c>
      <c r="D13" s="149">
        <f>Akşam!I5</f>
        <v>75.3</v>
      </c>
      <c r="E13" s="149">
        <f t="shared" si="2"/>
        <v>1.2000000000000028</v>
      </c>
      <c r="F13" s="115">
        <f t="shared" si="3"/>
        <v>-0.79999999999999716</v>
      </c>
    </row>
    <row r="14" spans="1:6" x14ac:dyDescent="0.25">
      <c r="A14" s="157">
        <f>Akşam!A6</f>
        <v>5</v>
      </c>
      <c r="B14" s="156" t="str">
        <f>Akşam!B6</f>
        <v>Çevre Ölçüm Noktası 2</v>
      </c>
      <c r="C14" s="149">
        <f>Akşam!G6</f>
        <v>78.7</v>
      </c>
      <c r="D14" s="149">
        <f>Akşam!I6</f>
        <v>84.1</v>
      </c>
      <c r="E14" s="149">
        <f t="shared" si="2"/>
        <v>5.3999999999999915</v>
      </c>
      <c r="F14" s="115">
        <f t="shared" si="3"/>
        <v>3.3999999999999915</v>
      </c>
    </row>
    <row r="15" spans="1:6" ht="15.75" thickBot="1" x14ac:dyDescent="0.3">
      <c r="A15" s="158">
        <f>Akşam!A7</f>
        <v>6</v>
      </c>
      <c r="B15" s="159" t="str">
        <f>Akşam!B7</f>
        <v>Çevre Ölçüm Noktası 3</v>
      </c>
      <c r="C15" s="160">
        <f>Akşam!G7</f>
        <v>74</v>
      </c>
      <c r="D15" s="160">
        <f>Akşam!I7</f>
        <v>76.400000000000006</v>
      </c>
      <c r="E15" s="160">
        <f t="shared" si="2"/>
        <v>2.4000000000000057</v>
      </c>
      <c r="F15" s="116">
        <f t="shared" si="3"/>
        <v>0.40000000000000568</v>
      </c>
    </row>
    <row r="16" spans="1:6" ht="15.75" thickBot="1" x14ac:dyDescent="0.3">
      <c r="A16" s="75" t="s">
        <v>41</v>
      </c>
      <c r="B16" s="76"/>
      <c r="C16" s="76"/>
      <c r="D16" s="76"/>
      <c r="E16" s="76"/>
      <c r="F16" s="77"/>
    </row>
    <row r="17" spans="1:6" x14ac:dyDescent="0.25">
      <c r="A17" s="141">
        <f>Gece!A2</f>
        <v>1</v>
      </c>
      <c r="B17" s="143" t="str">
        <f>Gece!B2</f>
        <v>İşletme İçi 1. Ölçüm Noktası</v>
      </c>
      <c r="C17" s="143">
        <f>Gece!G2</f>
        <v>78</v>
      </c>
      <c r="D17" s="143">
        <f>Gece!I2</f>
        <v>80.599999999999994</v>
      </c>
      <c r="E17" s="143">
        <f>D17-C17</f>
        <v>2.5999999999999943</v>
      </c>
      <c r="F17" s="114">
        <f>E17-2</f>
        <v>0.59999999999999432</v>
      </c>
    </row>
    <row r="18" spans="1:6" x14ac:dyDescent="0.25">
      <c r="A18" s="150">
        <f>Gece!A3</f>
        <v>2</v>
      </c>
      <c r="B18" s="149" t="str">
        <f>Gece!B3</f>
        <v>İşletme İçi 2. Ölçüm Noktası</v>
      </c>
      <c r="C18" s="149">
        <f>Gece!G3</f>
        <v>73.099999999999994</v>
      </c>
      <c r="D18" s="149">
        <f>Gece!I3</f>
        <v>76.7</v>
      </c>
      <c r="E18" s="149">
        <f t="shared" ref="E18:E22" si="4">D18-C18</f>
        <v>3.6000000000000085</v>
      </c>
      <c r="F18" s="115">
        <f t="shared" ref="F18:F22" si="5">E18-2</f>
        <v>1.6000000000000085</v>
      </c>
    </row>
    <row r="19" spans="1:6" x14ac:dyDescent="0.25">
      <c r="A19" s="150">
        <f>Gece!A4</f>
        <v>3</v>
      </c>
      <c r="B19" s="149" t="str">
        <f>Gece!B4</f>
        <v>İşletme İçi 3. Ölçüm Noktası</v>
      </c>
      <c r="C19" s="149">
        <f>Gece!G4</f>
        <v>74.099999999999994</v>
      </c>
      <c r="D19" s="149">
        <f>Gece!I4</f>
        <v>75.3</v>
      </c>
      <c r="E19" s="149">
        <f t="shared" si="4"/>
        <v>1.2000000000000028</v>
      </c>
      <c r="F19" s="115">
        <f t="shared" si="5"/>
        <v>-0.79999999999999716</v>
      </c>
    </row>
    <row r="20" spans="1:6" x14ac:dyDescent="0.25">
      <c r="A20" s="150">
        <f>Gece!A5</f>
        <v>4</v>
      </c>
      <c r="B20" s="149" t="str">
        <f>Gece!B5</f>
        <v>Çevre Ölçüm Noktası 1</v>
      </c>
      <c r="C20" s="149">
        <f>Gece!G5</f>
        <v>65.7</v>
      </c>
      <c r="D20" s="149">
        <f>Gece!I5</f>
        <v>69.099999999999994</v>
      </c>
      <c r="E20" s="149">
        <f t="shared" si="4"/>
        <v>3.3999999999999915</v>
      </c>
      <c r="F20" s="115">
        <f t="shared" si="5"/>
        <v>1.3999999999999915</v>
      </c>
    </row>
    <row r="21" spans="1:6" x14ac:dyDescent="0.25">
      <c r="A21" s="150">
        <f>Gece!A6</f>
        <v>5</v>
      </c>
      <c r="B21" s="149" t="str">
        <f>Gece!B6</f>
        <v>Çevre Ölçüm Noktası 2</v>
      </c>
      <c r="C21" s="149">
        <f>Gece!G6</f>
        <v>70.400000000000006</v>
      </c>
      <c r="D21" s="149">
        <f>Gece!I6</f>
        <v>72.900000000000006</v>
      </c>
      <c r="E21" s="149">
        <f t="shared" si="4"/>
        <v>2.5</v>
      </c>
      <c r="F21" s="115">
        <f t="shared" si="5"/>
        <v>0.5</v>
      </c>
    </row>
    <row r="22" spans="1:6" ht="15.75" thickBot="1" x14ac:dyDescent="0.3">
      <c r="A22" s="151">
        <f>Gece!A7</f>
        <v>6</v>
      </c>
      <c r="B22" s="153" t="str">
        <f>Gece!B7</f>
        <v>Çevre Ölçüm Noktası 3</v>
      </c>
      <c r="C22" s="153">
        <f>Gece!G7</f>
        <v>72.099999999999994</v>
      </c>
      <c r="D22" s="153">
        <f>Gece!I7</f>
        <v>74.5</v>
      </c>
      <c r="E22" s="153">
        <f t="shared" si="4"/>
        <v>2.4000000000000057</v>
      </c>
      <c r="F22" s="117">
        <f t="shared" si="5"/>
        <v>0.40000000000000568</v>
      </c>
    </row>
  </sheetData>
  <mergeCells count="3">
    <mergeCell ref="A2:F2"/>
    <mergeCell ref="A9:F9"/>
    <mergeCell ref="A16:F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F4C61-CDF1-478E-909F-75E38ECEA5F7}">
  <dimension ref="A1:F22"/>
  <sheetViews>
    <sheetView workbookViewId="0">
      <selection activeCell="K13" sqref="K13:K14"/>
    </sheetView>
  </sheetViews>
  <sheetFormatPr defaultRowHeight="15" x14ac:dyDescent="0.25"/>
  <cols>
    <col min="1" max="1" width="6.42578125" bestFit="1" customWidth="1"/>
    <col min="2" max="2" width="26.5703125" bestFit="1" customWidth="1"/>
    <col min="3" max="3" width="11.7109375" customWidth="1"/>
    <col min="4" max="4" width="11" customWidth="1"/>
    <col min="5" max="5" width="12.7109375" customWidth="1"/>
    <col min="6" max="6" width="11.7109375" customWidth="1"/>
  </cols>
  <sheetData>
    <row r="1" spans="1:6" ht="21.75" thickBot="1" x14ac:dyDescent="0.3">
      <c r="A1" s="166" t="s">
        <v>19</v>
      </c>
      <c r="B1" s="107" t="s">
        <v>20</v>
      </c>
      <c r="C1" s="107" t="s">
        <v>42</v>
      </c>
      <c r="D1" s="107" t="s">
        <v>43</v>
      </c>
      <c r="E1" s="107" t="s">
        <v>44</v>
      </c>
      <c r="F1" s="107" t="s">
        <v>45</v>
      </c>
    </row>
    <row r="2" spans="1:6" ht="15" customHeight="1" thickBot="1" x14ac:dyDescent="0.3">
      <c r="A2" s="64" t="s">
        <v>39</v>
      </c>
      <c r="B2" s="65"/>
      <c r="C2" s="65"/>
      <c r="D2" s="65"/>
      <c r="E2" s="65"/>
      <c r="F2" s="66"/>
    </row>
    <row r="3" spans="1:6" x14ac:dyDescent="0.25">
      <c r="A3" s="165">
        <f>Gündüz!A2</f>
        <v>1</v>
      </c>
      <c r="B3" s="154" t="str">
        <f>Gündüz!B2</f>
        <v>İşletme İçi 1. Ölçüm Noktası</v>
      </c>
      <c r="C3" s="154">
        <f>Gündüz!K2</f>
        <v>62.3</v>
      </c>
      <c r="D3" s="154">
        <f>Gündüz!L2</f>
        <v>68.400000000000006</v>
      </c>
      <c r="E3" s="154">
        <f>D3-C3</f>
        <v>6.1000000000000085</v>
      </c>
      <c r="F3" s="155">
        <v>0</v>
      </c>
    </row>
    <row r="4" spans="1:6" x14ac:dyDescent="0.25">
      <c r="A4" s="157">
        <f>Gündüz!A3</f>
        <v>2</v>
      </c>
      <c r="B4" s="156" t="str">
        <f>Gündüz!B3</f>
        <v>İşletme İçi 2. Ölçüm Noktası</v>
      </c>
      <c r="C4" s="154">
        <f>Gündüz!K3</f>
        <v>59.2</v>
      </c>
      <c r="D4" s="154">
        <f>Gündüz!L3</f>
        <v>66.8</v>
      </c>
      <c r="E4" s="154">
        <f t="shared" ref="E4:E8" si="0">D4-C4</f>
        <v>7.5999999999999943</v>
      </c>
      <c r="F4" s="169">
        <v>0</v>
      </c>
    </row>
    <row r="5" spans="1:6" x14ac:dyDescent="0.25">
      <c r="A5" s="157">
        <f>Gündüz!A4</f>
        <v>3</v>
      </c>
      <c r="B5" s="156" t="str">
        <f>Gündüz!B4</f>
        <v>İşletme İçi 3. Ölçüm Noktası</v>
      </c>
      <c r="C5" s="154">
        <f>Gündüz!K4</f>
        <v>63.9</v>
      </c>
      <c r="D5" s="154">
        <f>Gündüz!L4</f>
        <v>68.3</v>
      </c>
      <c r="E5" s="154">
        <f t="shared" si="0"/>
        <v>4.3999999999999986</v>
      </c>
      <c r="F5" s="169">
        <v>0</v>
      </c>
    </row>
    <row r="6" spans="1:6" x14ac:dyDescent="0.25">
      <c r="A6" s="157">
        <f>Gündüz!A5</f>
        <v>4</v>
      </c>
      <c r="B6" s="156" t="str">
        <f>Gündüz!B5</f>
        <v>Çevre Ölçüm Noktası 1</v>
      </c>
      <c r="C6" s="154">
        <f>Gündüz!K5</f>
        <v>57.9</v>
      </c>
      <c r="D6" s="154">
        <f>Gündüz!L5</f>
        <v>63.9</v>
      </c>
      <c r="E6" s="154">
        <f t="shared" si="0"/>
        <v>6</v>
      </c>
      <c r="F6" s="169">
        <v>0</v>
      </c>
    </row>
    <row r="7" spans="1:6" x14ac:dyDescent="0.25">
      <c r="A7" s="157">
        <f>Gündüz!A6</f>
        <v>5</v>
      </c>
      <c r="B7" s="156" t="str">
        <f>Gündüz!B6</f>
        <v>Çevre Ölçüm Noktası 2</v>
      </c>
      <c r="C7" s="154">
        <f>Gündüz!K6</f>
        <v>62</v>
      </c>
      <c r="D7" s="154">
        <f>Gündüz!L6</f>
        <v>67.099999999999994</v>
      </c>
      <c r="E7" s="154">
        <f t="shared" si="0"/>
        <v>5.0999999999999943</v>
      </c>
      <c r="F7" s="169">
        <v>0</v>
      </c>
    </row>
    <row r="8" spans="1:6" ht="15.75" thickBot="1" x14ac:dyDescent="0.3">
      <c r="A8" s="158">
        <f>Gündüz!A7</f>
        <v>6</v>
      </c>
      <c r="B8" s="159" t="str">
        <f>Gündüz!B7</f>
        <v>Çevre Ölçüm Noktası 3</v>
      </c>
      <c r="C8" s="161">
        <f>Gündüz!K7</f>
        <v>59.3</v>
      </c>
      <c r="D8" s="161">
        <f>Gündüz!L7</f>
        <v>65.900000000000006</v>
      </c>
      <c r="E8" s="161">
        <f t="shared" si="0"/>
        <v>6.6000000000000085</v>
      </c>
      <c r="F8" s="170">
        <v>0</v>
      </c>
    </row>
    <row r="9" spans="1:6" ht="15.75" thickBot="1" x14ac:dyDescent="0.3">
      <c r="A9" s="72" t="s">
        <v>40</v>
      </c>
      <c r="B9" s="73"/>
      <c r="C9" s="73"/>
      <c r="D9" s="73"/>
      <c r="E9" s="73"/>
      <c r="F9" s="74"/>
    </row>
    <row r="10" spans="1:6" x14ac:dyDescent="0.25">
      <c r="A10" s="141">
        <f>Akşam!A2</f>
        <v>1</v>
      </c>
      <c r="B10" s="143" t="str">
        <f>Akşam!B2</f>
        <v>İşletme İçi 1. Ölçüm Noktası</v>
      </c>
      <c r="C10" s="143">
        <f>Akşam!K2</f>
        <v>59.3</v>
      </c>
      <c r="D10" s="143">
        <f>Akşam!L2</f>
        <v>66.5</v>
      </c>
      <c r="E10" s="143">
        <f>D10-C10</f>
        <v>7.2000000000000028</v>
      </c>
      <c r="F10" s="155">
        <v>0</v>
      </c>
    </row>
    <row r="11" spans="1:6" x14ac:dyDescent="0.25">
      <c r="A11" s="150">
        <f>Akşam!A3</f>
        <v>2</v>
      </c>
      <c r="B11" s="149" t="str">
        <f>Akşam!B3</f>
        <v>İşletme İçi 2. Ölçüm Noktası</v>
      </c>
      <c r="C11" s="149">
        <f>Akşam!K3</f>
        <v>54.4</v>
      </c>
      <c r="D11" s="149">
        <f>Akşam!L3</f>
        <v>62.7</v>
      </c>
      <c r="E11" s="149">
        <f t="shared" ref="E11:E15" si="1">D11-C11</f>
        <v>8.3000000000000043</v>
      </c>
      <c r="F11" s="169">
        <v>0</v>
      </c>
    </row>
    <row r="12" spans="1:6" x14ac:dyDescent="0.25">
      <c r="A12" s="150">
        <f>Akşam!A4</f>
        <v>3</v>
      </c>
      <c r="B12" s="149" t="str">
        <f>Akşam!B4</f>
        <v>İşletme İçi 3. Ölçüm Noktası</v>
      </c>
      <c r="C12" s="149">
        <f>Akşam!K4</f>
        <v>54.7</v>
      </c>
      <c r="D12" s="149">
        <f>Akşam!L4</f>
        <v>64.099999999999994</v>
      </c>
      <c r="E12" s="149">
        <f t="shared" si="1"/>
        <v>9.3999999999999915</v>
      </c>
      <c r="F12" s="169">
        <v>0</v>
      </c>
    </row>
    <row r="13" spans="1:6" x14ac:dyDescent="0.25">
      <c r="A13" s="150">
        <f>Akşam!A5</f>
        <v>4</v>
      </c>
      <c r="B13" s="149" t="str">
        <f>Akşam!B5</f>
        <v>Çevre Ölçüm Noktası 1</v>
      </c>
      <c r="C13" s="149">
        <f>Akşam!K5</f>
        <v>60.2</v>
      </c>
      <c r="D13" s="149">
        <f>Akşam!L5</f>
        <v>64.900000000000006</v>
      </c>
      <c r="E13" s="149">
        <f t="shared" si="1"/>
        <v>4.7000000000000028</v>
      </c>
      <c r="F13" s="169">
        <v>0</v>
      </c>
    </row>
    <row r="14" spans="1:6" x14ac:dyDescent="0.25">
      <c r="A14" s="150">
        <f>Akşam!A6</f>
        <v>5</v>
      </c>
      <c r="B14" s="149" t="str">
        <f>Akşam!B6</f>
        <v>Çevre Ölçüm Noktası 2</v>
      </c>
      <c r="C14" s="149">
        <f>Akşam!K6</f>
        <v>53.5</v>
      </c>
      <c r="D14" s="149">
        <f>Akşam!L6</f>
        <v>64.3</v>
      </c>
      <c r="E14" s="149">
        <f t="shared" si="1"/>
        <v>10.799999999999997</v>
      </c>
      <c r="F14" s="169">
        <v>0</v>
      </c>
    </row>
    <row r="15" spans="1:6" ht="15.75" thickBot="1" x14ac:dyDescent="0.3">
      <c r="A15" s="168">
        <f>Akşam!A7</f>
        <v>6</v>
      </c>
      <c r="B15" s="160" t="str">
        <f>Akşam!B7</f>
        <v>Çevre Ölçüm Noktası 3</v>
      </c>
      <c r="C15" s="160">
        <f>Akşam!K7</f>
        <v>59.3</v>
      </c>
      <c r="D15" s="160">
        <f>Akşam!L7</f>
        <v>66.5</v>
      </c>
      <c r="E15" s="160">
        <f t="shared" si="1"/>
        <v>7.2000000000000028</v>
      </c>
      <c r="F15" s="170">
        <v>0</v>
      </c>
    </row>
    <row r="16" spans="1:6" ht="15.75" thickBot="1" x14ac:dyDescent="0.3">
      <c r="A16" s="75" t="s">
        <v>41</v>
      </c>
      <c r="B16" s="76"/>
      <c r="C16" s="76"/>
      <c r="D16" s="76"/>
      <c r="E16" s="76"/>
      <c r="F16" s="77"/>
    </row>
    <row r="17" spans="1:6" x14ac:dyDescent="0.25">
      <c r="A17" s="137">
        <f>Gece!A2</f>
        <v>1</v>
      </c>
      <c r="B17" s="139" t="str">
        <f>Gece!B2</f>
        <v>İşletme İçi 1. Ölçüm Noktası</v>
      </c>
      <c r="C17" s="139">
        <f>Gece!K2</f>
        <v>62</v>
      </c>
      <c r="D17" s="139">
        <f>Gece!L2</f>
        <v>66.8</v>
      </c>
      <c r="E17" s="171">
        <f>D17-C17</f>
        <v>4.7999999999999972</v>
      </c>
      <c r="F17" s="172">
        <v>0</v>
      </c>
    </row>
    <row r="18" spans="1:6" x14ac:dyDescent="0.25">
      <c r="A18" s="150">
        <f>Gece!A3</f>
        <v>2</v>
      </c>
      <c r="B18" s="149" t="str">
        <f>Gece!B3</f>
        <v>İşletme İçi 2. Ölçüm Noktası</v>
      </c>
      <c r="C18" s="149">
        <f>Gece!K3</f>
        <v>56</v>
      </c>
      <c r="D18" s="149">
        <f>Gece!L3</f>
        <v>62.1</v>
      </c>
      <c r="E18" s="156">
        <f t="shared" ref="E18:E22" si="2">D18-C18</f>
        <v>6.1000000000000014</v>
      </c>
      <c r="F18" s="169">
        <v>0</v>
      </c>
    </row>
    <row r="19" spans="1:6" x14ac:dyDescent="0.25">
      <c r="A19" s="150">
        <f>Gece!A4</f>
        <v>3</v>
      </c>
      <c r="B19" s="149" t="str">
        <f>Gece!B4</f>
        <v>İşletme İçi 3. Ölçüm Noktası</v>
      </c>
      <c r="C19" s="149">
        <f>Gece!K4</f>
        <v>60.2</v>
      </c>
      <c r="D19" s="149">
        <f>Gece!L4</f>
        <v>64.900000000000006</v>
      </c>
      <c r="E19" s="156">
        <f t="shared" si="2"/>
        <v>4.7000000000000028</v>
      </c>
      <c r="F19" s="169">
        <v>0</v>
      </c>
    </row>
    <row r="20" spans="1:6" x14ac:dyDescent="0.25">
      <c r="A20" s="150">
        <f>Gece!A5</f>
        <v>4</v>
      </c>
      <c r="B20" s="149" t="str">
        <f>Gece!B5</f>
        <v>Çevre Ölçüm Noktası 1</v>
      </c>
      <c r="C20" s="149">
        <f>Gece!K5</f>
        <v>52</v>
      </c>
      <c r="D20" s="149">
        <f>Gece!L5</f>
        <v>60.8</v>
      </c>
      <c r="E20" s="156">
        <f t="shared" si="2"/>
        <v>8.7999999999999972</v>
      </c>
      <c r="F20" s="169">
        <v>0</v>
      </c>
    </row>
    <row r="21" spans="1:6" x14ac:dyDescent="0.25">
      <c r="A21" s="150">
        <f>Gece!A6</f>
        <v>5</v>
      </c>
      <c r="B21" s="149" t="str">
        <f>Gece!B6</f>
        <v>Çevre Ölçüm Noktası 2</v>
      </c>
      <c r="C21" s="149">
        <f>Gece!K6</f>
        <v>58.7</v>
      </c>
      <c r="D21" s="149">
        <f>Gece!L6</f>
        <v>65.3</v>
      </c>
      <c r="E21" s="156">
        <f t="shared" si="2"/>
        <v>6.5999999999999943</v>
      </c>
      <c r="F21" s="169">
        <v>0</v>
      </c>
    </row>
    <row r="22" spans="1:6" ht="15.75" thickBot="1" x14ac:dyDescent="0.3">
      <c r="A22" s="151">
        <f>Gece!A7</f>
        <v>6</v>
      </c>
      <c r="B22" s="153" t="str">
        <f>Gece!B7</f>
        <v>Çevre Ölçüm Noktası 3</v>
      </c>
      <c r="C22" s="153">
        <f>Gece!K7</f>
        <v>58.1</v>
      </c>
      <c r="D22" s="153">
        <f>Gece!L7</f>
        <v>65.099999999999994</v>
      </c>
      <c r="E22" s="167">
        <f t="shared" si="2"/>
        <v>6.9999999999999929</v>
      </c>
      <c r="F22" s="173">
        <v>0</v>
      </c>
    </row>
  </sheetData>
  <mergeCells count="3">
    <mergeCell ref="A2:F2"/>
    <mergeCell ref="A9:F9"/>
    <mergeCell ref="A16:F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B701-27EF-43EB-8C9B-79D7EC16813A}">
  <dimension ref="A1:F14"/>
  <sheetViews>
    <sheetView workbookViewId="0">
      <selection activeCell="J14" sqref="J14"/>
    </sheetView>
  </sheetViews>
  <sheetFormatPr defaultRowHeight="15" x14ac:dyDescent="0.25"/>
  <cols>
    <col min="1" max="1" width="6.42578125" bestFit="1" customWidth="1"/>
    <col min="2" max="2" width="28" customWidth="1"/>
    <col min="3" max="3" width="14.28515625" customWidth="1"/>
    <col min="4" max="4" width="23.28515625" customWidth="1"/>
    <col min="5" max="5" width="21.7109375" customWidth="1"/>
    <col min="6" max="6" width="26.5703125" customWidth="1"/>
  </cols>
  <sheetData>
    <row r="1" spans="1:6" x14ac:dyDescent="0.25">
      <c r="A1" s="78" t="s">
        <v>19</v>
      </c>
      <c r="B1" s="79" t="s">
        <v>20</v>
      </c>
      <c r="C1" s="78" t="s">
        <v>42</v>
      </c>
      <c r="D1" s="78" t="s">
        <v>46</v>
      </c>
      <c r="E1" s="80" t="s">
        <v>47</v>
      </c>
      <c r="F1" s="78" t="s">
        <v>48</v>
      </c>
    </row>
    <row r="2" spans="1:6" ht="15.75" thickBot="1" x14ac:dyDescent="0.3">
      <c r="A2" s="89"/>
      <c r="B2" s="90"/>
      <c r="C2" s="89"/>
      <c r="D2" s="89"/>
      <c r="E2" s="108"/>
      <c r="F2" s="89"/>
    </row>
    <row r="3" spans="1:6" ht="15.75" thickBot="1" x14ac:dyDescent="0.3">
      <c r="A3" s="15" t="s">
        <v>39</v>
      </c>
      <c r="B3" s="16"/>
      <c r="C3" s="16"/>
      <c r="D3" s="16"/>
      <c r="E3" s="16"/>
      <c r="F3" s="17"/>
    </row>
    <row r="4" spans="1:6" x14ac:dyDescent="0.25">
      <c r="A4" s="165">
        <f>Gündüz!A5</f>
        <v>4</v>
      </c>
      <c r="B4" s="154" t="str">
        <f>Gündüz!B5</f>
        <v>Çevre Ölçüm Noktası 1</v>
      </c>
      <c r="C4" s="154">
        <f>Gündüz!K5</f>
        <v>57.9</v>
      </c>
      <c r="D4" s="154">
        <f>'Gündüz Arka Plan'!K2</f>
        <v>57.2</v>
      </c>
      <c r="E4" s="154">
        <f>C4-D4</f>
        <v>0.69999999999999574</v>
      </c>
      <c r="F4" s="155">
        <f>IF(OR(D4+3&gt;=C4),C4,LOG10((10^(C4/10))-(10^(D4/10)))*10)</f>
        <v>57.9</v>
      </c>
    </row>
    <row r="5" spans="1:6" x14ac:dyDescent="0.25">
      <c r="A5" s="157">
        <f>Gündüz!A6</f>
        <v>5</v>
      </c>
      <c r="B5" s="156" t="str">
        <f>Gündüz!B6</f>
        <v>Çevre Ölçüm Noktası 2</v>
      </c>
      <c r="C5" s="156">
        <f>Gündüz!K6</f>
        <v>62</v>
      </c>
      <c r="D5" s="156">
        <f>'Gündüz Arka Plan'!K3</f>
        <v>62.4</v>
      </c>
      <c r="E5" s="156">
        <f t="shared" ref="E5:E6" si="0">C5-D5</f>
        <v>-0.39999999999999858</v>
      </c>
      <c r="F5" s="169">
        <f t="shared" ref="F5:F6" si="1">IF(OR(D5+3&gt;=C5),C5,LOG10((10^(C5/10))-(10^(D5/10)))*10)</f>
        <v>62</v>
      </c>
    </row>
    <row r="6" spans="1:6" ht="15.75" thickBot="1" x14ac:dyDescent="0.3">
      <c r="A6" s="158">
        <f>Gündüz!A7</f>
        <v>6</v>
      </c>
      <c r="B6" s="159" t="str">
        <f>Gündüz!B7</f>
        <v>Çevre Ölçüm Noktası 3</v>
      </c>
      <c r="C6" s="159">
        <f>Gündüz!K7</f>
        <v>59.3</v>
      </c>
      <c r="D6" s="159">
        <f>'Gündüz Arka Plan'!K4</f>
        <v>57.2</v>
      </c>
      <c r="E6" s="159">
        <f t="shared" si="0"/>
        <v>2.0999999999999943</v>
      </c>
      <c r="F6" s="170">
        <f t="shared" si="1"/>
        <v>59.3</v>
      </c>
    </row>
    <row r="7" spans="1:6" ht="15.75" thickBot="1" x14ac:dyDescent="0.3">
      <c r="A7" s="72" t="s">
        <v>40</v>
      </c>
      <c r="B7" s="73"/>
      <c r="C7" s="73"/>
      <c r="D7" s="73"/>
      <c r="E7" s="73"/>
      <c r="F7" s="74"/>
    </row>
    <row r="8" spans="1:6" x14ac:dyDescent="0.25">
      <c r="A8" s="141">
        <f>Akşam!A5</f>
        <v>4</v>
      </c>
      <c r="B8" s="143" t="str">
        <f>Akşam!B5</f>
        <v>Çevre Ölçüm Noktası 1</v>
      </c>
      <c r="C8" s="143">
        <f>Akşam!K5</f>
        <v>60.2</v>
      </c>
      <c r="D8" s="143">
        <f>'Akşam Arka Plan'!K2</f>
        <v>58.7</v>
      </c>
      <c r="E8" s="143">
        <f>C8-D8</f>
        <v>1.5</v>
      </c>
      <c r="F8" s="114">
        <f>IF(OR(D8+3&gt;=C8),C8,LOG10((10^(C8/10))-(10^(D8/10)))*10)</f>
        <v>60.2</v>
      </c>
    </row>
    <row r="9" spans="1:6" x14ac:dyDescent="0.25">
      <c r="A9" s="150">
        <f>Akşam!A6</f>
        <v>5</v>
      </c>
      <c r="B9" s="149" t="str">
        <f>Akşam!B6</f>
        <v>Çevre Ölçüm Noktası 2</v>
      </c>
      <c r="C9" s="149">
        <f>Akşam!K6</f>
        <v>53.5</v>
      </c>
      <c r="D9" s="149">
        <f>'Akşam Arka Plan'!K3</f>
        <v>58.4</v>
      </c>
      <c r="E9" s="149">
        <f t="shared" ref="E9:E10" si="2">C9-D9</f>
        <v>-4.8999999999999986</v>
      </c>
      <c r="F9" s="115">
        <f t="shared" ref="F9:F10" si="3">IF(OR(D9+3&gt;=C9),C9,LOG10((10^(C9/10))-(10^(D9/10)))*10)</f>
        <v>53.5</v>
      </c>
    </row>
    <row r="10" spans="1:6" ht="15.75" thickBot="1" x14ac:dyDescent="0.3">
      <c r="A10" s="168">
        <f>Akşam!A7</f>
        <v>6</v>
      </c>
      <c r="B10" s="160" t="str">
        <f>Akşam!B7</f>
        <v>Çevre Ölçüm Noktası 3</v>
      </c>
      <c r="C10" s="160">
        <f>Akşam!K7</f>
        <v>59.3</v>
      </c>
      <c r="D10" s="160">
        <f>'Akşam Arka Plan'!K4</f>
        <v>60.6</v>
      </c>
      <c r="E10" s="160">
        <f t="shared" si="2"/>
        <v>-1.3000000000000043</v>
      </c>
      <c r="F10" s="116">
        <f t="shared" si="3"/>
        <v>59.3</v>
      </c>
    </row>
    <row r="11" spans="1:6" ht="15.75" thickBot="1" x14ac:dyDescent="0.3">
      <c r="A11" s="75" t="s">
        <v>41</v>
      </c>
      <c r="B11" s="76"/>
      <c r="C11" s="76"/>
      <c r="D11" s="76"/>
      <c r="E11" s="76"/>
      <c r="F11" s="77"/>
    </row>
    <row r="12" spans="1:6" x14ac:dyDescent="0.25">
      <c r="A12" s="141">
        <f>Gece!A5</f>
        <v>4</v>
      </c>
      <c r="B12" s="143" t="str">
        <f>Gece!B5</f>
        <v>Çevre Ölçüm Noktası 1</v>
      </c>
      <c r="C12" s="143">
        <f>Gece!K5</f>
        <v>52</v>
      </c>
      <c r="D12" s="143">
        <f>'Gece Arka Plan'!K2</f>
        <v>51.1</v>
      </c>
      <c r="E12" s="143">
        <f>C12-D12</f>
        <v>0.89999999999999858</v>
      </c>
      <c r="F12" s="114">
        <f>IF(OR(D12+3&gt;=C12),C12,LOG10((10^(C12/10))-(10^(D12/10)))*10)</f>
        <v>52</v>
      </c>
    </row>
    <row r="13" spans="1:6" x14ac:dyDescent="0.25">
      <c r="A13" s="150">
        <f>Gece!A6</f>
        <v>5</v>
      </c>
      <c r="B13" s="149" t="str">
        <f>Gece!B6</f>
        <v>Çevre Ölçüm Noktası 2</v>
      </c>
      <c r="C13" s="149">
        <f>Gece!K6</f>
        <v>58.7</v>
      </c>
      <c r="D13" s="149">
        <f>'Gece Arka Plan'!K3</f>
        <v>57.7</v>
      </c>
      <c r="E13" s="149">
        <f t="shared" ref="E13:E14" si="4">C13-D13</f>
        <v>1</v>
      </c>
      <c r="F13" s="115">
        <f t="shared" ref="F13:F14" si="5">IF(OR(D13+3&gt;=C13),C13,LOG10((10^(C13/10))-(10^(D13/10)))*10)</f>
        <v>58.7</v>
      </c>
    </row>
    <row r="14" spans="1:6" ht="15.75" thickBot="1" x14ac:dyDescent="0.3">
      <c r="A14" s="151">
        <f>Gece!A7</f>
        <v>6</v>
      </c>
      <c r="B14" s="153" t="str">
        <f>Gece!B7</f>
        <v>Çevre Ölçüm Noktası 3</v>
      </c>
      <c r="C14" s="153">
        <f>Gece!K7</f>
        <v>58.1</v>
      </c>
      <c r="D14" s="153">
        <f>'Gece Arka Plan'!K4</f>
        <v>55.6</v>
      </c>
      <c r="E14" s="153">
        <f t="shared" si="4"/>
        <v>2.5</v>
      </c>
      <c r="F14" s="117">
        <f t="shared" si="5"/>
        <v>58.1</v>
      </c>
    </row>
  </sheetData>
  <mergeCells count="9">
    <mergeCell ref="A7:F7"/>
    <mergeCell ref="A11:F11"/>
    <mergeCell ref="A1:A2"/>
    <mergeCell ref="B1:B2"/>
    <mergeCell ref="C1:C2"/>
    <mergeCell ref="D1:D2"/>
    <mergeCell ref="E1:E2"/>
    <mergeCell ref="A3:F3"/>
    <mergeCell ref="F1:F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2836-51B8-48E3-ABB4-21ABCFF2485C}">
  <dimension ref="A1:I14"/>
  <sheetViews>
    <sheetView workbookViewId="0">
      <selection activeCell="P15" sqref="P15"/>
    </sheetView>
  </sheetViews>
  <sheetFormatPr defaultRowHeight="15" x14ac:dyDescent="0.25"/>
  <cols>
    <col min="2" max="2" width="33.85546875" customWidth="1"/>
    <col min="3" max="3" width="13.28515625" customWidth="1"/>
    <col min="4" max="4" width="12.5703125" customWidth="1"/>
    <col min="5" max="5" width="14.28515625" customWidth="1"/>
  </cols>
  <sheetData>
    <row r="1" spans="1:9" ht="15.75" thickBot="1" x14ac:dyDescent="0.3">
      <c r="A1" s="78" t="s">
        <v>19</v>
      </c>
      <c r="B1" s="79" t="s">
        <v>20</v>
      </c>
      <c r="C1" s="78" t="s">
        <v>49</v>
      </c>
      <c r="D1" s="78" t="s">
        <v>50</v>
      </c>
      <c r="E1" s="84" t="s">
        <v>51</v>
      </c>
      <c r="F1" s="85" t="s">
        <v>52</v>
      </c>
      <c r="G1" s="86"/>
      <c r="H1" s="87"/>
      <c r="I1" s="88" t="s">
        <v>53</v>
      </c>
    </row>
    <row r="2" spans="1:9" ht="15.75" thickBot="1" x14ac:dyDescent="0.3">
      <c r="A2" s="89"/>
      <c r="B2" s="90"/>
      <c r="C2" s="89"/>
      <c r="D2" s="89"/>
      <c r="E2" s="91"/>
      <c r="F2" s="92" t="s">
        <v>54</v>
      </c>
      <c r="G2" s="93" t="s">
        <v>55</v>
      </c>
      <c r="H2" s="94" t="s">
        <v>56</v>
      </c>
      <c r="I2" s="95"/>
    </row>
    <row r="3" spans="1:9" ht="15.75" thickBot="1" x14ac:dyDescent="0.3">
      <c r="A3" s="120" t="s">
        <v>39</v>
      </c>
      <c r="B3" s="121"/>
      <c r="C3" s="121"/>
      <c r="D3" s="121"/>
      <c r="E3" s="121"/>
      <c r="F3" s="121"/>
      <c r="G3" s="121"/>
      <c r="H3" s="121"/>
      <c r="I3" s="122"/>
    </row>
    <row r="4" spans="1:9" x14ac:dyDescent="0.25">
      <c r="A4" s="67">
        <f>Gündüz!A5</f>
        <v>4</v>
      </c>
      <c r="B4" s="68" t="str">
        <f>Gündüz!B5</f>
        <v>Çevre Ölçüm Noktası 1</v>
      </c>
      <c r="C4" s="68">
        <f>Gündüz!K5</f>
        <v>57.9</v>
      </c>
      <c r="D4" s="68">
        <f>'Gündüz Arka Plan'!K2</f>
        <v>57.2</v>
      </c>
      <c r="E4" s="68">
        <f>'Saf Kaynak Gürültüsü'!F4</f>
        <v>57.9</v>
      </c>
      <c r="F4" s="68">
        <f>Darbesellik!F6</f>
        <v>-0.60000000000000853</v>
      </c>
      <c r="G4" s="68">
        <v>0</v>
      </c>
      <c r="H4" s="68">
        <f>'Düşük Frekans'!F6</f>
        <v>0</v>
      </c>
      <c r="I4" s="69">
        <f>E4+F4+G4+H4</f>
        <v>57.29999999999999</v>
      </c>
    </row>
    <row r="5" spans="1:9" x14ac:dyDescent="0.25">
      <c r="A5" s="70">
        <f>Gündüz!A6</f>
        <v>5</v>
      </c>
      <c r="B5" s="5" t="str">
        <f>Gündüz!B6</f>
        <v>Çevre Ölçüm Noktası 2</v>
      </c>
      <c r="C5" s="5">
        <f>Gündüz!K6</f>
        <v>62</v>
      </c>
      <c r="D5" s="5">
        <f>'Gündüz Arka Plan'!K3</f>
        <v>62.4</v>
      </c>
      <c r="E5" s="5">
        <f>'Saf Kaynak Gürültüsü'!F5</f>
        <v>62</v>
      </c>
      <c r="F5" s="5">
        <f>Darbesellik!F7</f>
        <v>2.0999999999999943</v>
      </c>
      <c r="G5" s="5">
        <v>0</v>
      </c>
      <c r="H5" s="5">
        <f>'Düşük Frekans'!F7</f>
        <v>0</v>
      </c>
      <c r="I5" s="12">
        <f t="shared" ref="I5:I6" si="0">E5+F5+G5+H5</f>
        <v>64.099999999999994</v>
      </c>
    </row>
    <row r="6" spans="1:9" ht="15.75" thickBot="1" x14ac:dyDescent="0.3">
      <c r="A6" s="71">
        <f>Gündüz!A7</f>
        <v>6</v>
      </c>
      <c r="B6" s="13" t="str">
        <f>Gündüz!B7</f>
        <v>Çevre Ölçüm Noktası 3</v>
      </c>
      <c r="C6" s="13">
        <f>Gündüz!K7</f>
        <v>59.3</v>
      </c>
      <c r="D6" s="13">
        <f>'Gündüz Arka Plan'!K4</f>
        <v>57.2</v>
      </c>
      <c r="E6" s="13">
        <f>'Saf Kaynak Gürültüsü'!F6</f>
        <v>59.3</v>
      </c>
      <c r="F6" s="13">
        <f>Darbesellik!F8</f>
        <v>1.8999999999999915</v>
      </c>
      <c r="G6" s="13">
        <v>0</v>
      </c>
      <c r="H6" s="13">
        <f>'Düşük Frekans'!F8</f>
        <v>0</v>
      </c>
      <c r="I6" s="14">
        <f t="shared" si="0"/>
        <v>61.199999999999989</v>
      </c>
    </row>
    <row r="7" spans="1:9" ht="15.75" thickBot="1" x14ac:dyDescent="0.3">
      <c r="A7" s="175" t="s">
        <v>40</v>
      </c>
      <c r="B7" s="176"/>
      <c r="C7" s="176"/>
      <c r="D7" s="176"/>
      <c r="E7" s="176"/>
      <c r="F7" s="176"/>
      <c r="G7" s="176"/>
      <c r="H7" s="176"/>
      <c r="I7" s="177"/>
    </row>
    <row r="8" spans="1:9" x14ac:dyDescent="0.25">
      <c r="A8" s="67">
        <f>Akşam!A5</f>
        <v>4</v>
      </c>
      <c r="B8" s="68" t="str">
        <f>Akşam!B5</f>
        <v>Çevre Ölçüm Noktası 1</v>
      </c>
      <c r="C8" s="68">
        <f>Akşam!K5</f>
        <v>60.2</v>
      </c>
      <c r="D8" s="68">
        <f>'Akşam Arka Plan'!K2</f>
        <v>58.7</v>
      </c>
      <c r="E8" s="68">
        <f>'Saf Kaynak Gürültüsü'!F8</f>
        <v>60.2</v>
      </c>
      <c r="F8" s="68">
        <f>Darbesellik!F13</f>
        <v>-0.79999999999999716</v>
      </c>
      <c r="G8" s="68">
        <v>0</v>
      </c>
      <c r="H8" s="68">
        <f>'Düşük Frekans'!F13</f>
        <v>0</v>
      </c>
      <c r="I8" s="69">
        <f>E8+F8+G8+H8</f>
        <v>59.400000000000006</v>
      </c>
    </row>
    <row r="9" spans="1:9" x14ac:dyDescent="0.25">
      <c r="A9" s="70">
        <f>Akşam!A6</f>
        <v>5</v>
      </c>
      <c r="B9" s="5" t="str">
        <f>Akşam!B6</f>
        <v>Çevre Ölçüm Noktası 2</v>
      </c>
      <c r="C9" s="5">
        <f>Akşam!K6</f>
        <v>53.5</v>
      </c>
      <c r="D9" s="5">
        <f>'Akşam Arka Plan'!K3</f>
        <v>58.4</v>
      </c>
      <c r="E9" s="5">
        <f>'Saf Kaynak Gürültüsü'!F9</f>
        <v>53.5</v>
      </c>
      <c r="F9" s="5">
        <f>Darbesellik!F14</f>
        <v>3.3999999999999915</v>
      </c>
      <c r="G9" s="5">
        <v>0</v>
      </c>
      <c r="H9" s="5">
        <f>'Düşük Frekans'!F14</f>
        <v>0</v>
      </c>
      <c r="I9" s="12">
        <f t="shared" ref="I9:I10" si="1">E9+F9+G9+H9</f>
        <v>56.899999999999991</v>
      </c>
    </row>
    <row r="10" spans="1:9" ht="15.75" thickBot="1" x14ac:dyDescent="0.3">
      <c r="A10" s="71">
        <f>Akşam!A7</f>
        <v>6</v>
      </c>
      <c r="B10" s="13" t="str">
        <f>Akşam!B7</f>
        <v>Çevre Ölçüm Noktası 3</v>
      </c>
      <c r="C10" s="13">
        <f>Akşam!K7</f>
        <v>59.3</v>
      </c>
      <c r="D10" s="13">
        <f>'Akşam Arka Plan'!K4</f>
        <v>60.6</v>
      </c>
      <c r="E10" s="13">
        <f>'Saf Kaynak Gürültüsü'!F10</f>
        <v>59.3</v>
      </c>
      <c r="F10" s="13">
        <f>Darbesellik!F15</f>
        <v>0.40000000000000568</v>
      </c>
      <c r="G10" s="13">
        <v>0</v>
      </c>
      <c r="H10" s="13">
        <f>'Düşük Frekans'!F15</f>
        <v>0</v>
      </c>
      <c r="I10" s="14">
        <f t="shared" si="1"/>
        <v>59.7</v>
      </c>
    </row>
    <row r="11" spans="1:9" ht="15.75" thickBot="1" x14ac:dyDescent="0.3">
      <c r="A11" s="175" t="s">
        <v>41</v>
      </c>
      <c r="B11" s="176"/>
      <c r="C11" s="176"/>
      <c r="D11" s="176"/>
      <c r="E11" s="176"/>
      <c r="F11" s="176"/>
      <c r="G11" s="176"/>
      <c r="H11" s="176"/>
      <c r="I11" s="177"/>
    </row>
    <row r="12" spans="1:9" x14ac:dyDescent="0.25">
      <c r="A12" s="67">
        <f>Gece!A5</f>
        <v>4</v>
      </c>
      <c r="B12" s="68" t="str">
        <f>Gece!B5</f>
        <v>Çevre Ölçüm Noktası 1</v>
      </c>
      <c r="C12" s="68">
        <f>Gece!K5</f>
        <v>52</v>
      </c>
      <c r="D12" s="68">
        <f>'Gece Arka Plan'!K2</f>
        <v>51.1</v>
      </c>
      <c r="E12" s="68">
        <f>'Saf Kaynak Gürültüsü'!F12</f>
        <v>52</v>
      </c>
      <c r="F12" s="68">
        <f>Darbesellik!F20</f>
        <v>1.3999999999999915</v>
      </c>
      <c r="G12" s="68">
        <v>0</v>
      </c>
      <c r="H12" s="68">
        <f>'Düşük Frekans'!F20</f>
        <v>0</v>
      </c>
      <c r="I12" s="69">
        <f>E12+F12+G12+H12</f>
        <v>53.399999999999991</v>
      </c>
    </row>
    <row r="13" spans="1:9" x14ac:dyDescent="0.25">
      <c r="A13" s="70">
        <f>Gece!A6</f>
        <v>5</v>
      </c>
      <c r="B13" s="5" t="str">
        <f>Gece!B6</f>
        <v>Çevre Ölçüm Noktası 2</v>
      </c>
      <c r="C13" s="5">
        <f>Gece!K6</f>
        <v>58.7</v>
      </c>
      <c r="D13" s="5">
        <f>'Gece Arka Plan'!K3</f>
        <v>57.7</v>
      </c>
      <c r="E13" s="5">
        <f>'Saf Kaynak Gürültüsü'!F13</f>
        <v>58.7</v>
      </c>
      <c r="F13" s="5">
        <f>Darbesellik!F21</f>
        <v>0.5</v>
      </c>
      <c r="G13" s="5">
        <v>0</v>
      </c>
      <c r="H13" s="5">
        <f>'Düşük Frekans'!F21</f>
        <v>0</v>
      </c>
      <c r="I13" s="12">
        <f t="shared" ref="I13:I14" si="2">E13+F13+G13+H13</f>
        <v>59.2</v>
      </c>
    </row>
    <row r="14" spans="1:9" ht="15.75" thickBot="1" x14ac:dyDescent="0.3">
      <c r="A14" s="71">
        <f>Gece!A7</f>
        <v>6</v>
      </c>
      <c r="B14" s="13" t="str">
        <f>Gece!B7</f>
        <v>Çevre Ölçüm Noktası 3</v>
      </c>
      <c r="C14" s="13">
        <f>Gece!K7</f>
        <v>58.1</v>
      </c>
      <c r="D14" s="13">
        <f>'Gece Arka Plan'!K4</f>
        <v>55.6</v>
      </c>
      <c r="E14" s="13">
        <f>'Saf Kaynak Gürültüsü'!F14</f>
        <v>58.1</v>
      </c>
      <c r="F14" s="13">
        <f>Darbesellik!F22</f>
        <v>0.40000000000000568</v>
      </c>
      <c r="G14" s="13">
        <v>0</v>
      </c>
      <c r="H14" s="13">
        <f>'Düşük Frekans'!F22</f>
        <v>0</v>
      </c>
      <c r="I14" s="14">
        <f t="shared" si="2"/>
        <v>58.500000000000007</v>
      </c>
    </row>
  </sheetData>
  <mergeCells count="10">
    <mergeCell ref="I1:I2"/>
    <mergeCell ref="A3:I3"/>
    <mergeCell ref="A7:I7"/>
    <mergeCell ref="A11:I11"/>
    <mergeCell ref="A1:A2"/>
    <mergeCell ref="B1:B2"/>
    <mergeCell ref="C1:C2"/>
    <mergeCell ref="D1:D2"/>
    <mergeCell ref="E1:E2"/>
    <mergeCell ref="F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CAD1-2800-4B25-89C7-37E82793DF9E}">
  <dimension ref="A1:G14"/>
  <sheetViews>
    <sheetView workbookViewId="0">
      <selection activeCell="E21" sqref="E21"/>
    </sheetView>
  </sheetViews>
  <sheetFormatPr defaultRowHeight="15" x14ac:dyDescent="0.25"/>
  <cols>
    <col min="1" max="1" width="10" bestFit="1" customWidth="1"/>
    <col min="2" max="2" width="25.28515625" bestFit="1" customWidth="1"/>
    <col min="3" max="3" width="9.5703125" customWidth="1"/>
    <col min="4" max="4" width="12" customWidth="1"/>
    <col min="5" max="5" width="12.7109375" customWidth="1"/>
    <col min="6" max="6" width="17" customWidth="1"/>
    <col min="7" max="7" width="38" customWidth="1"/>
  </cols>
  <sheetData>
    <row r="1" spans="1:7" x14ac:dyDescent="0.25">
      <c r="A1" s="29" t="s">
        <v>19</v>
      </c>
      <c r="B1" s="103" t="s">
        <v>20</v>
      </c>
      <c r="C1" s="100" t="s">
        <v>57</v>
      </c>
      <c r="D1" s="105" t="s">
        <v>50</v>
      </c>
      <c r="E1" s="102" t="s">
        <v>58</v>
      </c>
      <c r="F1" s="105" t="s">
        <v>59</v>
      </c>
      <c r="G1" s="105" t="s">
        <v>72</v>
      </c>
    </row>
    <row r="2" spans="1:7" ht="15.75" thickBot="1" x14ac:dyDescent="0.3">
      <c r="A2" s="42"/>
      <c r="B2" s="104"/>
      <c r="C2" s="101"/>
      <c r="D2" s="106"/>
      <c r="E2" s="100"/>
      <c r="F2" s="106"/>
      <c r="G2" s="106"/>
    </row>
    <row r="3" spans="1:7" ht="15.75" thickBot="1" x14ac:dyDescent="0.3">
      <c r="A3" s="45" t="s">
        <v>39</v>
      </c>
      <c r="B3" s="30"/>
      <c r="C3" s="30"/>
      <c r="D3" s="30"/>
      <c r="E3" s="30"/>
      <c r="F3" s="30"/>
      <c r="G3" s="31"/>
    </row>
    <row r="4" spans="1:7" x14ac:dyDescent="0.25">
      <c r="A4" s="137">
        <f>Gündüz!A5</f>
        <v>4</v>
      </c>
      <c r="B4" s="139" t="str">
        <f>Gündüz!B5</f>
        <v>Çevre Ölçüm Noktası 1</v>
      </c>
      <c r="C4" s="139">
        <f>'Ses Etkilenim Seviyesi (Lr)'!C4</f>
        <v>57.9</v>
      </c>
      <c r="D4" s="139">
        <f>'Ses Etkilenim Seviyesi (Lr)'!D4</f>
        <v>57.2</v>
      </c>
      <c r="E4" s="139">
        <f>'Ses Etkilenim Seviyesi (Lr)'!I4</f>
        <v>57.29999999999999</v>
      </c>
      <c r="F4" s="185">
        <f>E4-D4</f>
        <v>9.999999999998721E-2</v>
      </c>
      <c r="G4" s="182">
        <v>5</v>
      </c>
    </row>
    <row r="5" spans="1:7" x14ac:dyDescent="0.25">
      <c r="A5" s="150">
        <f>Gündüz!A6</f>
        <v>5</v>
      </c>
      <c r="B5" s="149" t="str">
        <f>Gündüz!B6</f>
        <v>Çevre Ölçüm Noktası 2</v>
      </c>
      <c r="C5" s="149">
        <f>'Ses Etkilenim Seviyesi (Lr)'!C5</f>
        <v>62</v>
      </c>
      <c r="D5" s="149">
        <f>'Ses Etkilenim Seviyesi (Lr)'!D5</f>
        <v>62.4</v>
      </c>
      <c r="E5" s="149">
        <f>'Ses Etkilenim Seviyesi (Lr)'!I5</f>
        <v>64.099999999999994</v>
      </c>
      <c r="F5" s="186">
        <f t="shared" ref="F5:F6" si="0">E5-D5</f>
        <v>1.6999999999999957</v>
      </c>
      <c r="G5" s="183"/>
    </row>
    <row r="6" spans="1:7" ht="15.75" thickBot="1" x14ac:dyDescent="0.3">
      <c r="A6" s="151">
        <f>Gündüz!A7</f>
        <v>6</v>
      </c>
      <c r="B6" s="153" t="str">
        <f>Gündüz!B7</f>
        <v>Çevre Ölçüm Noktası 3</v>
      </c>
      <c r="C6" s="153">
        <f>'Ses Etkilenim Seviyesi (Lr)'!C6</f>
        <v>59.3</v>
      </c>
      <c r="D6" s="153">
        <f>'Ses Etkilenim Seviyesi (Lr)'!D6</f>
        <v>57.2</v>
      </c>
      <c r="E6" s="153">
        <f>'Ses Etkilenim Seviyesi (Lr)'!I6</f>
        <v>61.199999999999989</v>
      </c>
      <c r="F6" s="187">
        <f t="shared" si="0"/>
        <v>3.9999999999999858</v>
      </c>
      <c r="G6" s="184"/>
    </row>
    <row r="7" spans="1:7" ht="15.75" thickBot="1" x14ac:dyDescent="0.3">
      <c r="A7" s="175" t="s">
        <v>40</v>
      </c>
      <c r="B7" s="180"/>
      <c r="C7" s="180"/>
      <c r="D7" s="180"/>
      <c r="E7" s="180"/>
      <c r="F7" s="180"/>
      <c r="G7" s="181"/>
    </row>
    <row r="8" spans="1:7" x14ac:dyDescent="0.25">
      <c r="A8" s="137">
        <f>Akşam!A5</f>
        <v>4</v>
      </c>
      <c r="B8" s="139" t="str">
        <f>Akşam!B5</f>
        <v>Çevre Ölçüm Noktası 1</v>
      </c>
      <c r="C8" s="139">
        <f>'Ses Etkilenim Seviyesi (Lr)'!C8</f>
        <v>60.2</v>
      </c>
      <c r="D8" s="139">
        <f>'Ses Etkilenim Seviyesi (Lr)'!D8</f>
        <v>58.7</v>
      </c>
      <c r="E8" s="139">
        <f>'Ses Etkilenim Seviyesi (Lr)'!I8</f>
        <v>59.400000000000006</v>
      </c>
      <c r="F8" s="185">
        <f>E8-D8</f>
        <v>0.70000000000000284</v>
      </c>
      <c r="G8" s="182">
        <v>5</v>
      </c>
    </row>
    <row r="9" spans="1:7" x14ac:dyDescent="0.25">
      <c r="A9" s="150">
        <f>Akşam!A6</f>
        <v>5</v>
      </c>
      <c r="B9" s="149" t="str">
        <f>Akşam!B6</f>
        <v>Çevre Ölçüm Noktası 2</v>
      </c>
      <c r="C9" s="149">
        <f>'Ses Etkilenim Seviyesi (Lr)'!C9</f>
        <v>53.5</v>
      </c>
      <c r="D9" s="149">
        <f>'Ses Etkilenim Seviyesi (Lr)'!D9</f>
        <v>58.4</v>
      </c>
      <c r="E9" s="149">
        <f>'Ses Etkilenim Seviyesi (Lr)'!I9</f>
        <v>56.899999999999991</v>
      </c>
      <c r="F9" s="186">
        <f t="shared" ref="F9:F10" si="1">E9-D9</f>
        <v>-1.5000000000000071</v>
      </c>
      <c r="G9" s="183"/>
    </row>
    <row r="10" spans="1:7" ht="15.75" thickBot="1" x14ac:dyDescent="0.3">
      <c r="A10" s="151">
        <f>Akşam!A7</f>
        <v>6</v>
      </c>
      <c r="B10" s="153" t="str">
        <f>Akşam!B7</f>
        <v>Çevre Ölçüm Noktası 3</v>
      </c>
      <c r="C10" s="153">
        <f>'Ses Etkilenim Seviyesi (Lr)'!C10</f>
        <v>59.3</v>
      </c>
      <c r="D10" s="153">
        <f>'Ses Etkilenim Seviyesi (Lr)'!D10</f>
        <v>60.6</v>
      </c>
      <c r="E10" s="153">
        <f>'Ses Etkilenim Seviyesi (Lr)'!I10</f>
        <v>59.7</v>
      </c>
      <c r="F10" s="187">
        <f t="shared" si="1"/>
        <v>-0.89999999999999858</v>
      </c>
      <c r="G10" s="184"/>
    </row>
    <row r="11" spans="1:7" ht="15.75" thickBot="1" x14ac:dyDescent="0.3">
      <c r="A11" s="175" t="s">
        <v>41</v>
      </c>
      <c r="B11" s="180"/>
      <c r="C11" s="180"/>
      <c r="D11" s="180"/>
      <c r="E11" s="180"/>
      <c r="F11" s="180"/>
      <c r="G11" s="181"/>
    </row>
    <row r="12" spans="1:7" x14ac:dyDescent="0.25">
      <c r="A12" s="137">
        <f>Gece!A5</f>
        <v>4</v>
      </c>
      <c r="B12" s="139" t="str">
        <f>Gece!B5</f>
        <v>Çevre Ölçüm Noktası 1</v>
      </c>
      <c r="C12" s="139">
        <f>'Ses Etkilenim Seviyesi (Lr)'!C12</f>
        <v>52</v>
      </c>
      <c r="D12" s="139">
        <f>'Ses Etkilenim Seviyesi (Lr)'!D12</f>
        <v>51.1</v>
      </c>
      <c r="E12" s="139">
        <f>'Ses Etkilenim Seviyesi (Lr)'!I12</f>
        <v>53.399999999999991</v>
      </c>
      <c r="F12" s="185">
        <f>E12-D12</f>
        <v>2.2999999999999901</v>
      </c>
      <c r="G12" s="182">
        <v>3</v>
      </c>
    </row>
    <row r="13" spans="1:7" x14ac:dyDescent="0.25">
      <c r="A13" s="150">
        <f>Gece!A6</f>
        <v>5</v>
      </c>
      <c r="B13" s="149" t="str">
        <f>Gece!B6</f>
        <v>Çevre Ölçüm Noktası 2</v>
      </c>
      <c r="C13" s="149">
        <f>'Ses Etkilenim Seviyesi (Lr)'!C13</f>
        <v>58.7</v>
      </c>
      <c r="D13" s="149">
        <f>'Ses Etkilenim Seviyesi (Lr)'!D13</f>
        <v>57.7</v>
      </c>
      <c r="E13" s="149">
        <f>'Ses Etkilenim Seviyesi (Lr)'!I13</f>
        <v>59.2</v>
      </c>
      <c r="F13" s="186">
        <f t="shared" ref="F13:F14" si="2">E13-D13</f>
        <v>1.5</v>
      </c>
      <c r="G13" s="183"/>
    </row>
    <row r="14" spans="1:7" ht="15.75" thickBot="1" x14ac:dyDescent="0.3">
      <c r="A14" s="151">
        <f>Gece!A7</f>
        <v>6</v>
      </c>
      <c r="B14" s="153" t="str">
        <f>Gece!B7</f>
        <v>Çevre Ölçüm Noktası 3</v>
      </c>
      <c r="C14" s="153">
        <f>'Ses Etkilenim Seviyesi (Lr)'!C14</f>
        <v>58.1</v>
      </c>
      <c r="D14" s="153">
        <f>'Ses Etkilenim Seviyesi (Lr)'!D14</f>
        <v>55.6</v>
      </c>
      <c r="E14" s="153">
        <f>'Ses Etkilenim Seviyesi (Lr)'!I14</f>
        <v>58.500000000000007</v>
      </c>
      <c r="F14" s="187">
        <f t="shared" si="2"/>
        <v>2.9000000000000057</v>
      </c>
      <c r="G14" s="184"/>
    </row>
  </sheetData>
  <mergeCells count="13">
    <mergeCell ref="G1:G2"/>
    <mergeCell ref="A3:G3"/>
    <mergeCell ref="A7:G7"/>
    <mergeCell ref="A11:G11"/>
    <mergeCell ref="G12:G14"/>
    <mergeCell ref="G8:G10"/>
    <mergeCell ref="G4:G6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8C5AF-5CA0-4450-AEF1-D95B6BD3EADF}">
  <dimension ref="A1:E14"/>
  <sheetViews>
    <sheetView workbookViewId="0">
      <selection activeCell="E28" sqref="E28"/>
    </sheetView>
  </sheetViews>
  <sheetFormatPr defaultRowHeight="15" x14ac:dyDescent="0.25"/>
  <cols>
    <col min="1" max="1" width="25" customWidth="1"/>
    <col min="2" max="2" width="22.5703125" customWidth="1"/>
    <col min="3" max="3" width="25.140625" bestFit="1" customWidth="1"/>
    <col min="4" max="4" width="11.28515625" customWidth="1"/>
    <col min="5" max="5" width="24.140625" customWidth="1"/>
  </cols>
  <sheetData>
    <row r="1" spans="1:5" x14ac:dyDescent="0.25">
      <c r="A1" s="30" t="s">
        <v>60</v>
      </c>
      <c r="B1" s="30" t="s">
        <v>61</v>
      </c>
      <c r="C1" s="30" t="s">
        <v>62</v>
      </c>
      <c r="D1" s="30" t="s">
        <v>63</v>
      </c>
      <c r="E1" s="30" t="s">
        <v>64</v>
      </c>
    </row>
    <row r="2" spans="1:5" ht="15.75" thickBot="1" x14ac:dyDescent="0.3">
      <c r="A2" s="4"/>
      <c r="B2" s="4"/>
      <c r="C2" s="4"/>
      <c r="D2" s="4"/>
      <c r="E2" s="4"/>
    </row>
    <row r="3" spans="1:5" ht="15.75" thickBot="1" x14ac:dyDescent="0.3">
      <c r="A3" s="45" t="s">
        <v>39</v>
      </c>
      <c r="B3" s="30"/>
      <c r="C3" s="30"/>
      <c r="D3" s="30"/>
      <c r="E3" s="31"/>
    </row>
    <row r="4" spans="1:5" x14ac:dyDescent="0.25">
      <c r="A4" s="137"/>
      <c r="B4" s="139"/>
      <c r="C4" s="139"/>
      <c r="D4" s="139">
        <f>'Sonuç Değerlendirme'!E4</f>
        <v>57.29999999999999</v>
      </c>
      <c r="E4" s="140"/>
    </row>
    <row r="5" spans="1:5" x14ac:dyDescent="0.25">
      <c r="A5" s="150"/>
      <c r="B5" s="149"/>
      <c r="C5" s="149"/>
      <c r="D5" s="149">
        <f>'Sonuç Değerlendirme'!E5</f>
        <v>64.099999999999994</v>
      </c>
      <c r="E5" s="115"/>
    </row>
    <row r="6" spans="1:5" ht="15.75" thickBot="1" x14ac:dyDescent="0.3">
      <c r="A6" s="151"/>
      <c r="B6" s="153"/>
      <c r="C6" s="153"/>
      <c r="D6" s="153">
        <f>'Sonuç Değerlendirme'!E6</f>
        <v>61.199999999999989</v>
      </c>
      <c r="E6" s="117"/>
    </row>
    <row r="7" spans="1:5" ht="15.75" thickBot="1" x14ac:dyDescent="0.3">
      <c r="A7" s="174" t="s">
        <v>40</v>
      </c>
      <c r="B7" s="178"/>
      <c r="C7" s="178"/>
      <c r="D7" s="178"/>
      <c r="E7" s="179"/>
    </row>
    <row r="8" spans="1:5" x14ac:dyDescent="0.25">
      <c r="A8" s="137"/>
      <c r="B8" s="139"/>
      <c r="C8" s="139"/>
      <c r="D8" s="139">
        <f>'Sonuç Değerlendirme'!E8</f>
        <v>59.400000000000006</v>
      </c>
      <c r="E8" s="140"/>
    </row>
    <row r="9" spans="1:5" x14ac:dyDescent="0.25">
      <c r="A9" s="150"/>
      <c r="B9" s="149"/>
      <c r="C9" s="149"/>
      <c r="D9" s="143">
        <f>'Sonuç Değerlendirme'!E9</f>
        <v>56.899999999999991</v>
      </c>
      <c r="E9" s="115"/>
    </row>
    <row r="10" spans="1:5" ht="15.75" thickBot="1" x14ac:dyDescent="0.3">
      <c r="A10" s="151"/>
      <c r="B10" s="153"/>
      <c r="C10" s="153"/>
      <c r="D10" s="146">
        <f>'Sonuç Değerlendirme'!E10</f>
        <v>59.7</v>
      </c>
      <c r="E10" s="117"/>
    </row>
    <row r="11" spans="1:5" ht="15.75" thickBot="1" x14ac:dyDescent="0.3">
      <c r="A11" s="174" t="s">
        <v>41</v>
      </c>
      <c r="B11" s="178"/>
      <c r="C11" s="178"/>
      <c r="D11" s="178"/>
      <c r="E11" s="179"/>
    </row>
    <row r="12" spans="1:5" x14ac:dyDescent="0.25">
      <c r="A12" s="137"/>
      <c r="B12" s="139"/>
      <c r="C12" s="139"/>
      <c r="D12" s="139">
        <f>'Sonuç Değerlendirme'!E12</f>
        <v>53.399999999999991</v>
      </c>
      <c r="E12" s="140"/>
    </row>
    <row r="13" spans="1:5" x14ac:dyDescent="0.25">
      <c r="A13" s="150"/>
      <c r="B13" s="149"/>
      <c r="C13" s="149"/>
      <c r="D13" s="143">
        <f>'Sonuç Değerlendirme'!E13</f>
        <v>59.2</v>
      </c>
      <c r="E13" s="115"/>
    </row>
    <row r="14" spans="1:5" ht="15.75" thickBot="1" x14ac:dyDescent="0.3">
      <c r="A14" s="151"/>
      <c r="B14" s="153"/>
      <c r="C14" s="153"/>
      <c r="D14" s="146">
        <f>'Sonuç Değerlendirme'!E14</f>
        <v>58.500000000000007</v>
      </c>
      <c r="E14" s="117"/>
    </row>
  </sheetData>
  <mergeCells count="8">
    <mergeCell ref="A7:E7"/>
    <mergeCell ref="A11:E11"/>
    <mergeCell ref="A1:A2"/>
    <mergeCell ref="B1:B2"/>
    <mergeCell ref="C1:C2"/>
    <mergeCell ref="D1:D2"/>
    <mergeCell ref="E1:E2"/>
    <mergeCell ref="A3:E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131B-16EE-4B7A-84D4-0EAD41BBBA96}">
  <dimension ref="A1:I17"/>
  <sheetViews>
    <sheetView workbookViewId="0">
      <selection activeCell="I28" sqref="I28"/>
    </sheetView>
  </sheetViews>
  <sheetFormatPr defaultRowHeight="15" x14ac:dyDescent="0.25"/>
  <cols>
    <col min="1" max="1" width="9.85546875" bestFit="1" customWidth="1"/>
    <col min="2" max="2" width="26.7109375" bestFit="1" customWidth="1"/>
  </cols>
  <sheetData>
    <row r="1" spans="1:9" ht="21.75" customHeight="1" thickBot="1" x14ac:dyDescent="0.3">
      <c r="A1" s="118" t="s">
        <v>65</v>
      </c>
      <c r="B1" s="109" t="s">
        <v>20</v>
      </c>
      <c r="C1" s="81" t="s">
        <v>73</v>
      </c>
      <c r="D1" s="82"/>
      <c r="E1" s="82"/>
      <c r="F1" s="82"/>
      <c r="G1" s="82"/>
      <c r="H1" s="82"/>
      <c r="I1" s="83"/>
    </row>
    <row r="2" spans="1:9" ht="15.75" thickBot="1" x14ac:dyDescent="0.3">
      <c r="A2" s="119"/>
      <c r="B2" s="110"/>
      <c r="C2" s="107" t="s">
        <v>74</v>
      </c>
      <c r="D2" s="107" t="s">
        <v>75</v>
      </c>
      <c r="E2" s="107" t="s">
        <v>76</v>
      </c>
      <c r="F2" s="107" t="s">
        <v>77</v>
      </c>
      <c r="G2" s="107" t="s">
        <v>78</v>
      </c>
      <c r="H2" s="107" t="s">
        <v>79</v>
      </c>
      <c r="I2" s="107" t="s">
        <v>80</v>
      </c>
    </row>
    <row r="3" spans="1:9" ht="15.75" thickBot="1" x14ac:dyDescent="0.3">
      <c r="A3" s="120" t="s">
        <v>68</v>
      </c>
      <c r="B3" s="121"/>
      <c r="C3" s="121"/>
      <c r="D3" s="121"/>
      <c r="E3" s="121"/>
      <c r="F3" s="121"/>
      <c r="G3" s="121"/>
      <c r="H3" s="121"/>
      <c r="I3" s="122"/>
    </row>
    <row r="4" spans="1:9" x14ac:dyDescent="0.25">
      <c r="A4" s="137">
        <f>Gündüz!A5</f>
        <v>4</v>
      </c>
      <c r="B4" s="139" t="str">
        <f>Gündüz!B5</f>
        <v>Çevre Ölçüm Noktası 1</v>
      </c>
      <c r="C4" s="139">
        <f>Gündüz!P5</f>
        <v>0</v>
      </c>
      <c r="D4" s="139">
        <f>Gündüz!Q5</f>
        <v>0</v>
      </c>
      <c r="E4" s="139">
        <f>Gündüz!R5</f>
        <v>0</v>
      </c>
      <c r="F4" s="139">
        <f>Gündüz!S5</f>
        <v>0</v>
      </c>
      <c r="G4" s="139">
        <f>Gündüz!T5</f>
        <v>0</v>
      </c>
      <c r="H4" s="139">
        <f>Gündüz!U5</f>
        <v>0</v>
      </c>
      <c r="I4" s="140">
        <f>Gündüz!V5</f>
        <v>0</v>
      </c>
    </row>
    <row r="5" spans="1:9" x14ac:dyDescent="0.25">
      <c r="A5" s="150">
        <f>Gündüz!A6</f>
        <v>5</v>
      </c>
      <c r="B5" s="149" t="str">
        <f>Gündüz!B6</f>
        <v>Çevre Ölçüm Noktası 2</v>
      </c>
      <c r="C5" s="149">
        <f>Gündüz!P6</f>
        <v>0</v>
      </c>
      <c r="D5" s="149">
        <f>Gündüz!Q6</f>
        <v>0</v>
      </c>
      <c r="E5" s="149">
        <f>Gündüz!R6</f>
        <v>0</v>
      </c>
      <c r="F5" s="149">
        <f>Gündüz!S6</f>
        <v>0</v>
      </c>
      <c r="G5" s="149">
        <f>Gündüz!T6</f>
        <v>0</v>
      </c>
      <c r="H5" s="149">
        <f>Gündüz!U6</f>
        <v>0</v>
      </c>
      <c r="I5" s="115">
        <f>Gündüz!V6</f>
        <v>0</v>
      </c>
    </row>
    <row r="6" spans="1:9" ht="15.75" thickBot="1" x14ac:dyDescent="0.3">
      <c r="A6" s="151">
        <f>Gündüz!A7</f>
        <v>6</v>
      </c>
      <c r="B6" s="153" t="str">
        <f>Gündüz!B7</f>
        <v>Çevre Ölçüm Noktası 3</v>
      </c>
      <c r="C6" s="153">
        <f>Gündüz!P7</f>
        <v>0</v>
      </c>
      <c r="D6" s="153">
        <f>Gündüz!Q7</f>
        <v>0</v>
      </c>
      <c r="E6" s="153">
        <f>Gündüz!R7</f>
        <v>0</v>
      </c>
      <c r="F6" s="153">
        <f>Gündüz!S7</f>
        <v>0</v>
      </c>
      <c r="G6" s="153">
        <f>Gündüz!T7</f>
        <v>0</v>
      </c>
      <c r="H6" s="153">
        <f>Gündüz!U7</f>
        <v>0</v>
      </c>
      <c r="I6" s="117">
        <f>Gündüz!V7</f>
        <v>0</v>
      </c>
    </row>
    <row r="7" spans="1:9" ht="15.75" thickBot="1" x14ac:dyDescent="0.3">
      <c r="A7" s="188" t="s">
        <v>81</v>
      </c>
      <c r="B7" s="189"/>
      <c r="C7" s="190">
        <v>60</v>
      </c>
      <c r="D7" s="191"/>
      <c r="E7" s="191"/>
      <c r="F7" s="191"/>
      <c r="G7" s="191"/>
      <c r="H7" s="191"/>
      <c r="I7" s="192"/>
    </row>
    <row r="8" spans="1:9" ht="15.75" thickBot="1" x14ac:dyDescent="0.3">
      <c r="A8" s="193" t="s">
        <v>70</v>
      </c>
      <c r="B8" s="194"/>
      <c r="C8" s="194"/>
      <c r="D8" s="194"/>
      <c r="E8" s="194"/>
      <c r="F8" s="194"/>
      <c r="G8" s="194"/>
      <c r="H8" s="194"/>
      <c r="I8" s="195"/>
    </row>
    <row r="9" spans="1:9" x14ac:dyDescent="0.25">
      <c r="A9" s="137">
        <f>Akşam!A5</f>
        <v>4</v>
      </c>
      <c r="B9" s="139" t="str">
        <f>Akşam!B5</f>
        <v>Çevre Ölçüm Noktası 1</v>
      </c>
      <c r="C9" s="139">
        <f>Akşam!P5</f>
        <v>0</v>
      </c>
      <c r="D9" s="139">
        <f>Akşam!Q5</f>
        <v>0</v>
      </c>
      <c r="E9" s="139">
        <f>Akşam!R5</f>
        <v>0</v>
      </c>
      <c r="F9" s="139">
        <f>Akşam!S5</f>
        <v>0</v>
      </c>
      <c r="G9" s="139">
        <f>Akşam!T5</f>
        <v>0</v>
      </c>
      <c r="H9" s="139">
        <f>Akşam!U5</f>
        <v>0</v>
      </c>
      <c r="I9" s="140">
        <f>Akşam!V5</f>
        <v>0</v>
      </c>
    </row>
    <row r="10" spans="1:9" x14ac:dyDescent="0.25">
      <c r="A10" s="150">
        <f>Akşam!A6</f>
        <v>5</v>
      </c>
      <c r="B10" s="149" t="str">
        <f>Akşam!B6</f>
        <v>Çevre Ölçüm Noktası 2</v>
      </c>
      <c r="C10" s="149">
        <f>Akşam!P6</f>
        <v>0</v>
      </c>
      <c r="D10" s="149">
        <f>Akşam!Q6</f>
        <v>0</v>
      </c>
      <c r="E10" s="149">
        <f>Akşam!R6</f>
        <v>0</v>
      </c>
      <c r="F10" s="149">
        <f>Akşam!S6</f>
        <v>0</v>
      </c>
      <c r="G10" s="149">
        <f>Akşam!T6</f>
        <v>0</v>
      </c>
      <c r="H10" s="149">
        <f>Akşam!U6</f>
        <v>0</v>
      </c>
      <c r="I10" s="115">
        <f>Akşam!V6</f>
        <v>0</v>
      </c>
    </row>
    <row r="11" spans="1:9" ht="15.75" thickBot="1" x14ac:dyDescent="0.3">
      <c r="A11" s="151">
        <f>Akşam!A7</f>
        <v>6</v>
      </c>
      <c r="B11" s="153" t="str">
        <f>Akşam!B7</f>
        <v>Çevre Ölçüm Noktası 3</v>
      </c>
      <c r="C11" s="153">
        <f>Akşam!P7</f>
        <v>0</v>
      </c>
      <c r="D11" s="153">
        <f>Akşam!Q7</f>
        <v>0</v>
      </c>
      <c r="E11" s="153">
        <f>Akşam!R7</f>
        <v>0</v>
      </c>
      <c r="F11" s="153">
        <f>Akşam!S7</f>
        <v>0</v>
      </c>
      <c r="G11" s="153">
        <f>Akşam!T7</f>
        <v>0</v>
      </c>
      <c r="H11" s="153">
        <f>Akşam!U7</f>
        <v>0</v>
      </c>
      <c r="I11" s="117">
        <f>Akşam!V7</f>
        <v>0</v>
      </c>
    </row>
    <row r="12" spans="1:9" ht="15.75" thickBot="1" x14ac:dyDescent="0.3">
      <c r="A12" s="188" t="s">
        <v>81</v>
      </c>
      <c r="B12" s="189"/>
      <c r="C12" s="190">
        <v>55</v>
      </c>
      <c r="D12" s="191"/>
      <c r="E12" s="191"/>
      <c r="F12" s="191"/>
      <c r="G12" s="191"/>
      <c r="H12" s="191"/>
      <c r="I12" s="192"/>
    </row>
    <row r="13" spans="1:9" ht="15.75" thickBot="1" x14ac:dyDescent="0.3">
      <c r="A13" s="193" t="s">
        <v>71</v>
      </c>
      <c r="B13" s="194"/>
      <c r="C13" s="194"/>
      <c r="D13" s="194"/>
      <c r="E13" s="194"/>
      <c r="F13" s="194"/>
      <c r="G13" s="194"/>
      <c r="H13" s="194"/>
      <c r="I13" s="195"/>
    </row>
    <row r="14" spans="1:9" x14ac:dyDescent="0.25">
      <c r="A14" s="137">
        <f>Gece!A5</f>
        <v>4</v>
      </c>
      <c r="B14" s="139" t="str">
        <f>Gece!B5</f>
        <v>Çevre Ölçüm Noktası 1</v>
      </c>
      <c r="C14" s="139">
        <f>Gece!P5</f>
        <v>0</v>
      </c>
      <c r="D14" s="139">
        <f>Gece!Q5</f>
        <v>0</v>
      </c>
      <c r="E14" s="139">
        <f>Gece!R5</f>
        <v>0</v>
      </c>
      <c r="F14" s="139">
        <f>Gece!S5</f>
        <v>0</v>
      </c>
      <c r="G14" s="139">
        <f>Gece!T5</f>
        <v>0</v>
      </c>
      <c r="H14" s="139">
        <f>Gece!U5</f>
        <v>0</v>
      </c>
      <c r="I14" s="140">
        <f>Gece!V5</f>
        <v>0</v>
      </c>
    </row>
    <row r="15" spans="1:9" x14ac:dyDescent="0.25">
      <c r="A15" s="150">
        <f>Gece!A6</f>
        <v>5</v>
      </c>
      <c r="B15" s="149" t="str">
        <f>Gece!B6</f>
        <v>Çevre Ölçüm Noktası 2</v>
      </c>
      <c r="C15" s="149">
        <f>Gece!P6</f>
        <v>0</v>
      </c>
      <c r="D15" s="149">
        <f>Gece!Q6</f>
        <v>0</v>
      </c>
      <c r="E15" s="149">
        <f>Gece!R6</f>
        <v>0</v>
      </c>
      <c r="F15" s="149">
        <f>Gece!S6</f>
        <v>0</v>
      </c>
      <c r="G15" s="149">
        <f>Gece!T6</f>
        <v>0</v>
      </c>
      <c r="H15" s="149">
        <f>Gece!U6</f>
        <v>0</v>
      </c>
      <c r="I15" s="115">
        <f>Gece!V6</f>
        <v>0</v>
      </c>
    </row>
    <row r="16" spans="1:9" ht="15.75" thickBot="1" x14ac:dyDescent="0.3">
      <c r="A16" s="151">
        <f>Gece!A7</f>
        <v>6</v>
      </c>
      <c r="B16" s="153" t="str">
        <f>Gece!B7</f>
        <v>Çevre Ölçüm Noktası 3</v>
      </c>
      <c r="C16" s="153">
        <f>Gece!P7</f>
        <v>0</v>
      </c>
      <c r="D16" s="153">
        <f>Gece!Q7</f>
        <v>0</v>
      </c>
      <c r="E16" s="153">
        <f>Gece!R7</f>
        <v>0</v>
      </c>
      <c r="F16" s="153">
        <f>Gece!S7</f>
        <v>0</v>
      </c>
      <c r="G16" s="153">
        <f>Gece!T7</f>
        <v>0</v>
      </c>
      <c r="H16" s="153">
        <f>Gece!U7</f>
        <v>0</v>
      </c>
      <c r="I16" s="117">
        <f>Gece!V7</f>
        <v>0</v>
      </c>
    </row>
    <row r="17" spans="1:9" ht="15.75" thickBot="1" x14ac:dyDescent="0.3">
      <c r="A17" s="196" t="s">
        <v>81</v>
      </c>
      <c r="B17" s="197"/>
      <c r="C17" s="190">
        <v>50</v>
      </c>
      <c r="D17" s="191"/>
      <c r="E17" s="191"/>
      <c r="F17" s="191"/>
      <c r="G17" s="191"/>
      <c r="H17" s="191"/>
      <c r="I17" s="192"/>
    </row>
  </sheetData>
  <mergeCells count="12">
    <mergeCell ref="A8:I8"/>
    <mergeCell ref="A12:B12"/>
    <mergeCell ref="C12:I12"/>
    <mergeCell ref="A13:I13"/>
    <mergeCell ref="A17:B17"/>
    <mergeCell ref="C17:I17"/>
    <mergeCell ref="A1:A2"/>
    <mergeCell ref="B1:B2"/>
    <mergeCell ref="C1:I1"/>
    <mergeCell ref="A3:I3"/>
    <mergeCell ref="A7:B7"/>
    <mergeCell ref="C7:I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B137A-5803-4AF4-9670-80436950F267}">
  <dimension ref="A1:D14"/>
  <sheetViews>
    <sheetView workbookViewId="0">
      <selection activeCell="G16" sqref="G16"/>
    </sheetView>
  </sheetViews>
  <sheetFormatPr defaultRowHeight="15" x14ac:dyDescent="0.25"/>
  <cols>
    <col min="1" max="1" width="7" customWidth="1"/>
    <col min="2" max="2" width="30.42578125" customWidth="1"/>
    <col min="3" max="3" width="22.28515625" customWidth="1"/>
    <col min="4" max="4" width="23.140625" customWidth="1"/>
  </cols>
  <sheetData>
    <row r="1" spans="1:4" x14ac:dyDescent="0.25">
      <c r="A1" s="111" t="s">
        <v>69</v>
      </c>
      <c r="B1" s="109" t="s">
        <v>20</v>
      </c>
      <c r="C1" s="78" t="s">
        <v>66</v>
      </c>
      <c r="D1" s="80" t="s">
        <v>67</v>
      </c>
    </row>
    <row r="2" spans="1:4" ht="15.75" thickBot="1" x14ac:dyDescent="0.3">
      <c r="A2" s="112"/>
      <c r="B2" s="110"/>
      <c r="C2" s="89"/>
      <c r="D2" s="108"/>
    </row>
    <row r="3" spans="1:4" ht="15.75" thickBot="1" x14ac:dyDescent="0.3">
      <c r="A3" s="202" t="s">
        <v>68</v>
      </c>
      <c r="B3" s="203"/>
      <c r="C3" s="203"/>
      <c r="D3" s="113"/>
    </row>
    <row r="4" spans="1:4" x14ac:dyDescent="0.25">
      <c r="A4" s="137">
        <f>Gündüz!A5</f>
        <v>4</v>
      </c>
      <c r="B4" s="139" t="str">
        <f>Gündüz!B5</f>
        <v>Çevre Ölçüm Noktası 1</v>
      </c>
      <c r="C4" s="140">
        <f>Gündüz!F5</f>
        <v>76.3</v>
      </c>
      <c r="D4" s="199">
        <v>100</v>
      </c>
    </row>
    <row r="5" spans="1:4" x14ac:dyDescent="0.25">
      <c r="A5" s="150">
        <f>Gündüz!A6</f>
        <v>5</v>
      </c>
      <c r="B5" s="149" t="str">
        <f>Gündüz!B6</f>
        <v>Çevre Ölçüm Noktası 2</v>
      </c>
      <c r="C5" s="115">
        <f>Gündüz!F6</f>
        <v>80.400000000000006</v>
      </c>
      <c r="D5" s="200"/>
    </row>
    <row r="6" spans="1:4" ht="15.75" thickBot="1" x14ac:dyDescent="0.3">
      <c r="A6" s="151">
        <f>Gündüz!A7</f>
        <v>6</v>
      </c>
      <c r="B6" s="153" t="str">
        <f>Gündüz!B7</f>
        <v>Çevre Ölçüm Noktası 3</v>
      </c>
      <c r="C6" s="117">
        <f>Gündüz!F7</f>
        <v>82.9</v>
      </c>
      <c r="D6" s="201"/>
    </row>
    <row r="7" spans="1:4" ht="15.75" thickBot="1" x14ac:dyDescent="0.3">
      <c r="A7" s="204" t="s">
        <v>70</v>
      </c>
      <c r="B7" s="205"/>
      <c r="C7" s="205"/>
      <c r="D7" s="198"/>
    </row>
    <row r="8" spans="1:4" x14ac:dyDescent="0.25">
      <c r="A8" s="137">
        <f>Akşam!A5</f>
        <v>4</v>
      </c>
      <c r="B8" s="139" t="str">
        <f>Akşam!B5</f>
        <v>Çevre Ölçüm Noktası 1</v>
      </c>
      <c r="C8" s="140">
        <f>Akşam!F5</f>
        <v>75.2</v>
      </c>
      <c r="D8" s="199">
        <v>100</v>
      </c>
    </row>
    <row r="9" spans="1:4" x14ac:dyDescent="0.25">
      <c r="A9" s="150">
        <f>Akşam!A6</f>
        <v>5</v>
      </c>
      <c r="B9" s="149" t="str">
        <f>Akşam!B6</f>
        <v>Çevre Ölçüm Noktası 2</v>
      </c>
      <c r="C9" s="115">
        <f>Akşam!F6</f>
        <v>92.2</v>
      </c>
      <c r="D9" s="200"/>
    </row>
    <row r="10" spans="1:4" ht="15.75" thickBot="1" x14ac:dyDescent="0.3">
      <c r="A10" s="151">
        <f>Akşam!A7</f>
        <v>6</v>
      </c>
      <c r="B10" s="153" t="str">
        <f>Akşam!B7</f>
        <v>Çevre Ölçüm Noktası 3</v>
      </c>
      <c r="C10" s="117">
        <f>Akşam!F7</f>
        <v>87.4</v>
      </c>
      <c r="D10" s="201"/>
    </row>
    <row r="11" spans="1:4" ht="15.75" thickBot="1" x14ac:dyDescent="0.3">
      <c r="A11" s="204" t="s">
        <v>71</v>
      </c>
      <c r="B11" s="205"/>
      <c r="C11" s="205"/>
      <c r="D11" s="198"/>
    </row>
    <row r="12" spans="1:4" x14ac:dyDescent="0.25">
      <c r="A12" s="137">
        <f>Gece!A5</f>
        <v>4</v>
      </c>
      <c r="B12" s="139" t="str">
        <f>Gece!B5</f>
        <v>Çevre Ölçüm Noktası 1</v>
      </c>
      <c r="C12" s="140">
        <f>Gece!F5</f>
        <v>69.599999999999994</v>
      </c>
      <c r="D12" s="199">
        <v>100</v>
      </c>
    </row>
    <row r="13" spans="1:4" x14ac:dyDescent="0.25">
      <c r="A13" s="150">
        <f>Gece!A6</f>
        <v>5</v>
      </c>
      <c r="B13" s="149" t="str">
        <f>Gece!B6</f>
        <v>Çevre Ölçüm Noktası 2</v>
      </c>
      <c r="C13" s="115">
        <f>Gece!F6</f>
        <v>75</v>
      </c>
      <c r="D13" s="200"/>
    </row>
    <row r="14" spans="1:4" ht="15.75" thickBot="1" x14ac:dyDescent="0.3">
      <c r="A14" s="151">
        <f>Gece!A7</f>
        <v>6</v>
      </c>
      <c r="B14" s="153" t="str">
        <f>Gece!B7</f>
        <v>Çevre Ölçüm Noktası 3</v>
      </c>
      <c r="C14" s="117">
        <f>Gece!F7</f>
        <v>75.599999999999994</v>
      </c>
      <c r="D14" s="201"/>
    </row>
  </sheetData>
  <mergeCells count="10">
    <mergeCell ref="A11:D11"/>
    <mergeCell ref="D4:D6"/>
    <mergeCell ref="D12:D14"/>
    <mergeCell ref="D8:D10"/>
    <mergeCell ref="A1:A2"/>
    <mergeCell ref="B1:B2"/>
    <mergeCell ref="D1:D2"/>
    <mergeCell ref="A3:D3"/>
    <mergeCell ref="C1:C2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18</vt:i4>
      </vt:variant>
    </vt:vector>
  </HeadingPairs>
  <TitlesOfParts>
    <vt:vector size="18" baseType="lpstr">
      <vt:lpstr>Gündüz</vt:lpstr>
      <vt:lpstr>Gündüz Arka Plan</vt:lpstr>
      <vt:lpstr>Akşam</vt:lpstr>
      <vt:lpstr>Akşam Arka Plan</vt:lpstr>
      <vt:lpstr>Gece</vt:lpstr>
      <vt:lpstr>Gece Arka Plan</vt:lpstr>
      <vt:lpstr>Gürültü Kaynaklar</vt:lpstr>
      <vt:lpstr>Çevre Şartları</vt:lpstr>
      <vt:lpstr>İşletme Faaliyetteyken</vt:lpstr>
      <vt:lpstr>İşletme Faaliyette Değilken</vt:lpstr>
      <vt:lpstr>Darbesellik</vt:lpstr>
      <vt:lpstr>Düşük Frekans</vt:lpstr>
      <vt:lpstr>Saf Kaynak Gürültüsü</vt:lpstr>
      <vt:lpstr>Ses Etkilenim Seviyesi (Lr)</vt:lpstr>
      <vt:lpstr>Sonuç Değerlendirme</vt:lpstr>
      <vt:lpstr>Bitişik Nizam</vt:lpstr>
      <vt:lpstr>Düşük Frekans Değerlendirmesi</vt:lpstr>
      <vt:lpstr>LC 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ASYA ASBEST DANIŞMANLIK</dc:creator>
  <cp:lastModifiedBy>ASYA ASBEST DANIŞMANLIK</cp:lastModifiedBy>
  <dcterms:created xsi:type="dcterms:W3CDTF">2026-10-04T13:45:59Z</dcterms:created>
  <dcterms:modified xsi:type="dcterms:W3CDTF">2026-10-04T16:56:38Z</dcterms:modified>
</cp:coreProperties>
</file>